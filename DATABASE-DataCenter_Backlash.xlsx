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Users/adrian/Library/Application Support/Box/Box Edit/Documents/2230150756549/"/>
    </mc:Choice>
  </mc:AlternateContent>
  <xr:revisionPtr revIDLastSave="289" documentId="13_ncr:1_{7ABADA96-39F2-4D48-9654-89066B6431C7}" xr6:coauthVersionLast="47" xr6:coauthVersionMax="47" xr10:uidLastSave="{EE3D00F4-5587-48E6-A386-A31A967E43BB}"/>
  <bookViews>
    <workbookView xWindow="0" yWindow="660" windowWidth="30240" windowHeight="18980" firstSheet="2" activeTab="2" xr2:uid="{CA8271FB-04E2-224D-BF67-9766D852A723}"/>
  </bookViews>
  <sheets>
    <sheet name="Philadelphia Fed Region" sheetId="3" r:id="rId1"/>
    <sheet name="PF Timelines" sheetId="5" r:id="rId2"/>
    <sheet name="NC VA" sheetId="1" r:id="rId3"/>
    <sheet name="NC VA Timelin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5" l="1" a="1"/>
  <c r="B1" i="5" s="1"/>
  <c r="B1" i="2" a="1"/>
  <c r="B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<sst xmlns="http://schemas.openxmlformats.org/spreadsheetml/2006/main" count="544" uniqueCount="312">
  <si>
    <t>Project</t>
  </si>
  <si>
    <t xml:space="preserve"> Company</t>
  </si>
  <si>
    <t xml:space="preserve"> Investment (B$)</t>
  </si>
  <si>
    <t xml:space="preserve"> State</t>
  </si>
  <si>
    <t xml:space="preserve"> County</t>
  </si>
  <si>
    <t xml:space="preserve"> Nearby Communities</t>
  </si>
  <si>
    <t xml:space="preserve"> Energy Capacity (MW)</t>
  </si>
  <si>
    <t xml:space="preserve"> Acreage</t>
  </si>
  <si>
    <t xml:space="preserve"> Timeline - Start</t>
  </si>
  <si>
    <t xml:space="preserve"> Timeline - End</t>
  </si>
  <si>
    <t xml:space="preserve"> Status</t>
  </si>
  <si>
    <t xml:space="preserve"> Resource Usage Claims</t>
  </si>
  <si>
    <t xml:space="preserve"> Energy Sources</t>
  </si>
  <si>
    <t xml:space="preserve"> Developer Promises</t>
  </si>
  <si>
    <t xml:space="preserve"> Comm. Concerns - Categories</t>
  </si>
  <si>
    <t xml:space="preserve"> Articulated Concerns</t>
  </si>
  <si>
    <t xml:space="preserve"> Comm. Action - Posture</t>
  </si>
  <si>
    <t xml:space="preserve"> Comm. Action - Intensity</t>
  </si>
  <si>
    <t xml:space="preserve"> Comm. Action - Details</t>
  </si>
  <si>
    <t xml:space="preserve"> Developer Action</t>
  </si>
  <si>
    <t>Latitude</t>
  </si>
  <si>
    <t>Longitude</t>
  </si>
  <si>
    <t>Month Recorded</t>
  </si>
  <si>
    <t xml:space="preserve"> Project Proposal</t>
  </si>
  <si>
    <t xml:space="preserve"> Govt Records</t>
  </si>
  <si>
    <t xml:space="preserve"> Source 3</t>
  </si>
  <si>
    <t xml:space="preserve"> Source 4</t>
  </si>
  <si>
    <t xml:space="preserve"> Source 5</t>
  </si>
  <si>
    <t>Cumulus Hyperscale Data Center Campus</t>
  </si>
  <si>
    <t>Talen (developer) and Amazon Web Services (purchased 2024)</t>
  </si>
  <si>
    <t>PA</t>
  </si>
  <si>
    <t>Luzerne</t>
  </si>
  <si>
    <t>Wilkes-Barre</t>
  </si>
  <si>
    <t>Completed</t>
  </si>
  <si>
    <t>Developer and energy producer Talen built and leased the data center, claiming zero-carbon output because of agreements with Talen's nuclear power plants.</t>
  </si>
  <si>
    <t>Talen Energy Corp. provides energy from its zero-carbon nuclear facility adjacent to the data center via interconnection service agreement.</t>
  </si>
  <si>
    <t>Promises were directed at shareholders, focusing on new revenue sources for the power company.</t>
  </si>
  <si>
    <t>Individual Economic</t>
  </si>
  <si>
    <t>AEP and Exelon filed a complaint to FERC claiming that non-AWS customers would pay an additional $140 million due to increased energy capacity.</t>
  </si>
  <si>
    <t>Neutral</t>
  </si>
  <si>
    <t>None</t>
  </si>
  <si>
    <t>While local community action has been limited, utility companies filed complaints with FERC to block an expanded plant interconnection plan.</t>
  </si>
  <si>
    <t>Talen initially built the center to "invest in opportunities created by the convergence of digital infrastructure and power," capitalizing on its rural loaction and control of the local energy market to build a data center with less bureaucratic and community barriers than other facilities.</t>
  </si>
  <si>
    <t>https://www.datacenterdynamics.com/en/news/talen-energy-to-build-300mw-nuclear-powered-cryptomining-facility-and-data-center-in-us/</t>
  </si>
  <si>
    <t>https://ir.talenenergy.com/node/7206/pdf</t>
  </si>
  <si>
    <t>https://www.datacenterdynamics.com/en/news/talen-energy-finishes-construction-on-first-data-center-at-pennsylvania-nuclear-station/</t>
  </si>
  <si>
    <t>https://www.datacenterdynamics.com/en/news/aws-acquires-talens-nuclear-data-center-campus-in-pennsylvania/</t>
  </si>
  <si>
    <t>https://www.datacenterdynamics.com/en/news/ferc-blocks-plan-for-susquehanna-nuclear-plant-interconnection-to-amazon-data-center/</t>
  </si>
  <si>
    <t>DataOne Vineland</t>
  </si>
  <si>
    <t>DataOne and the Nebius Group</t>
  </si>
  <si>
    <t>NJ</t>
  </si>
  <si>
    <t>Cumberland</t>
  </si>
  <si>
    <t>Millville, Bridegerton, Deerfield</t>
  </si>
  <si>
    <t>Delayed/Scaled Back</t>
  </si>
  <si>
    <t>Developer claims energy usage impact on comunity will be limited.</t>
  </si>
  <si>
    <t>85% on-site using existing natural gas pipeline; 15% from Vineland Municipal Utilities and Atlantic City Electric</t>
  </si>
  <si>
    <t>Data center will not spike electricty bills</t>
  </si>
  <si>
    <t>Land, Water, QOL, Individual Economic, Environmental</t>
  </si>
  <si>
    <t>Residents are concerned about the lack of transparency in the project, specifically given that it wasn't public information until DataOne requested a loan from Vineland. Additionally, residents are worry how noise and rising electricity costs could impact quality of life.</t>
  </si>
  <si>
    <t>Negative</t>
  </si>
  <si>
    <t>High</t>
  </si>
  <si>
    <t>Environmental advocacy organizations have targeted the project after the public became aware of it. The New Jersey state legislature is working on regulation package limiting the size of data centers after backlash from the Vineland project.</t>
  </si>
  <si>
    <t>Project scaled back from 2.4 million sq feet to 718,000 square feet after Vineland denied $6 million loan</t>
  </si>
  <si>
    <t>https://whyy.org/articles/data-center-artificial-intelligence-vineland-new-jersey/</t>
  </si>
  <si>
    <t>https://northwiseproject.com/nbis-stock-vineland-nj-data-center/</t>
  </si>
  <si>
    <t>https://vinelandnj.portal.civicclerk.com/event/46/files/attachment/1926; https://vinelandnj.portal.civicclerk.com/event/63/files/attachment/2007</t>
  </si>
  <si>
    <t>https://www.scottkompa.com/blog/vineland-ai-data-center-housing-market/</t>
  </si>
  <si>
    <t>Windstream Ephrata Data Center</t>
  </si>
  <si>
    <t>Windstream Holdings, Inc.</t>
  </si>
  <si>
    <t>Not Available</t>
  </si>
  <si>
    <t>Lancaster</t>
  </si>
  <si>
    <t>Ephrata</t>
  </si>
  <si>
    <t>Before 1992</t>
  </si>
  <si>
    <t>Grid</t>
  </si>
  <si>
    <t>No articulated community concerns related to the Windstream Ephrata data center.</t>
  </si>
  <si>
    <t>Windstream acquired this data center along with D&amp;E telecommunications in 2009.</t>
  </si>
  <si>
    <t>https://www.datacenterdynamics.com/en/news/windstream-announces-fourth-telecom-acquisition-this-year/</t>
  </si>
  <si>
    <t>https://cloudandcolocation.com/colocation-provider/windstream/</t>
  </si>
  <si>
    <t>Homer City Energy + AI Campus</t>
  </si>
  <si>
    <t>Homer City Redevelopment</t>
  </si>
  <si>
    <t>Indiana</t>
  </si>
  <si>
    <t>Center Township</t>
  </si>
  <si>
    <t>In Progress</t>
  </si>
  <si>
    <t>Homer City Redevelopment is building its own natural gas turbines to avoid strain on the local grid.</t>
  </si>
  <si>
    <t>Natural Gas</t>
  </si>
  <si>
    <t>Creation of 10,000 construction-related jobs and 1,000 "direct and indirect permanent high-paying positions"</t>
  </si>
  <si>
    <t>Climate</t>
  </si>
  <si>
    <t>Community: 250 new wells will need to be drilled to support natural gas demand.</t>
  </si>
  <si>
    <t>Low</t>
  </si>
  <si>
    <t>Community action group Concerned residents of Western Pennsylvania (CROW) established to protest data center, with specific challenges to the project's air pollution permit.</t>
  </si>
  <si>
    <t>N/A</t>
  </si>
  <si>
    <t>https://www.homercityredevelopment.com/project-overview</t>
  </si>
  <si>
    <t>PAX – Pennsylvania Digital I</t>
  </si>
  <si>
    <t>Pennsylvania Data Center Partners</t>
  </si>
  <si>
    <t>Middlesex Township</t>
  </si>
  <si>
    <t>Developer states that it will pay for grid updates to support increased demand at no cost to residents</t>
  </si>
  <si>
    <t>1,400 jobs created; $65 million in direct tax revenue to community; slow to ramp up capacity: 2Q 2027 - 450 MW; 2Q 2028 - 900 MW; 2Q 2029 - 1,350 MW</t>
  </si>
  <si>
    <t>Climate, QOL</t>
  </si>
  <si>
    <t>Community: Center will be visible and audible from the Appalachian Trail</t>
  </si>
  <si>
    <t>Statements issues by Appalachian Trail Conservancy and the Coalition to Protect Cumberland County PA from Data Centers</t>
  </si>
  <si>
    <t>Developer created a Q&amp;A website to address community concerns.</t>
  </si>
  <si>
    <t>https://pax1campus.com/</t>
  </si>
  <si>
    <t>CoreWeave Lancaster AI Campuses</t>
  </si>
  <si>
    <t>CoreWeave</t>
  </si>
  <si>
    <t>144 (across two campuses)</t>
  </si>
  <si>
    <t>Summer 2027</t>
  </si>
  <si>
    <t>Water consumption "similar to a small office building"</t>
  </si>
  <si>
    <t>Project built in two former printing press facilities; 600 jobs during build phase, 175 permanent high-paying jobs</t>
  </si>
  <si>
    <t>QOL</t>
  </si>
  <si>
    <t>Individual: Concerns about potential impact articulated on social media prior to community benefits agreement</t>
  </si>
  <si>
    <t>Community benefits agreement created with Town of Lancaster</t>
  </si>
  <si>
    <t>https://www.cityoflancasterpa.gov/data-center/</t>
  </si>
  <si>
    <t>Project Hazelnut</t>
  </si>
  <si>
    <t>NorthPoint</t>
  </si>
  <si>
    <t>Hazle</t>
  </si>
  <si>
    <t>Planned</t>
  </si>
  <si>
    <t>Developer claims 2.8 million gallons water usage and limited impact of local energy supply.</t>
  </si>
  <si>
    <t>$30 million community benefit package, job creation</t>
  </si>
  <si>
    <t>Water, Electricity, Individual economic, QOL</t>
  </si>
  <si>
    <t>Community: concern about massive scale of data center harming property values, local water treatment, noise, and pollution.</t>
  </si>
  <si>
    <t>The township voted 3-0 to deny the project's land development plans, leading to litigation that resulted in a Luzerne County judge ruling in favor of the township. In addition, the Pennsylvania Department of Environmental Protection held a hearing on the project in February 2026. Grassroots environmental organizations have also objected to the project.</t>
  </si>
  <si>
    <t>Developer has offered $30 million community benefits package to “help offset potential short-term localized utility rate increases.”</t>
  </si>
  <si>
    <t>https://www.luzernecounty.org/AgendaCenter/ViewFile/Agenda/_01212025-4075</t>
  </si>
  <si>
    <t>Klondike Data Center Project</t>
  </si>
  <si>
    <t>KDI Wyalusing Power LLC</t>
  </si>
  <si>
    <t>Bradford</t>
  </si>
  <si>
    <t>Wyalusing</t>
  </si>
  <si>
    <t>Not available, must begin before April 2027 air permits expire</t>
  </si>
  <si>
    <t>Not available</t>
  </si>
  <si>
    <t>Developer claimed facility would generate its own power and include a demineralized water treatment system to control emissions.</t>
  </si>
  <si>
    <t>Natural gas</t>
  </si>
  <si>
    <t>Developer promised center would be a minor emitter of pollutants; Only source of admissions outside of turbines would be from a firewater pump.</t>
  </si>
  <si>
    <t>Community: Concerns about environmental impact of air pollutants.</t>
  </si>
  <si>
    <t>Moderate</t>
  </si>
  <si>
    <t>Community submitted 122 comments follow PA DEP hearing</t>
  </si>
  <si>
    <t>Developer issued a joint comment-response document with PA DEP.</t>
  </si>
  <si>
    <t>https://files.dep.state.pa.us/RegionalResources/NCRO/NCROPortalFiles/CommunityInformation/Wyalusing%20Energy%20Center%20PAA%2012-26-2024%20(Rev.%202-12-2025).pdf</t>
  </si>
  <si>
    <t>East Greenwich Township Data Center</t>
  </si>
  <si>
    <t>American Tower Corporation</t>
  </si>
  <si>
    <t>Gloucester</t>
  </si>
  <si>
    <t>East Greenwich</t>
  </si>
  <si>
    <t>The developer claims that the impact on the surrounding community will be limited due to the small size and unmanned nature of the data center.</t>
  </si>
  <si>
    <t>None found</t>
  </si>
  <si>
    <t>Community: The center's residential location has created concerns about declining home values.</t>
  </si>
  <si>
    <t>East Greenwich Township passed a ban on data centers. Permits to rezone the residential lot for data center usage are pending and will be addressed during a special meeting on June 30, 2026.</t>
  </si>
  <si>
    <t>The developer has described the project as a unmanned cell tower IT building."</t>
  </si>
  <si>
    <t>https://protectegnj.web.app/files/ATC-Major_Site_Plan-10Feb2026.pdf</t>
  </si>
  <si>
    <t>St. Georges Business Park Data Center Development / "Frightland Project"</t>
  </si>
  <si>
    <t>Greggaro &amp; Ferrera</t>
  </si>
  <si>
    <t>DE</t>
  </si>
  <si>
    <t>New Castle</t>
  </si>
  <si>
    <t>St. Georges</t>
  </si>
  <si>
    <t>600 to 1000</t>
  </si>
  <si>
    <t>Proposed</t>
  </si>
  <si>
    <t>No developer statements on resource use.</t>
  </si>
  <si>
    <t>Developer promises to build 366 homes alongside industrial development</t>
  </si>
  <si>
    <t>Community: Concerns about building homes next to a data center</t>
  </si>
  <si>
    <t>New Castle County Council is considering regulations including buffer zones.</t>
  </si>
  <si>
    <t>No developer action found</t>
  </si>
  <si>
    <t>https://www3.newcastlede.gov/PDFDocument/default.aspx?DocumentID=80:FC40FF5826FBF7107D10260598B6C0724428DD1196872F86C5E68CE881F951C2D2BD769594D78C69354C344D0EE0A185&amp;x=temp.pdf</t>
  </si>
  <si>
    <t>White Clay Creek Business Park Data Center Redevelopment</t>
  </si>
  <si>
    <t>Verdantas</t>
  </si>
  <si>
    <t>Newark</t>
  </si>
  <si>
    <t>Tax revenue</t>
  </si>
  <si>
    <t>Land, Water, Electricity, Climate</t>
  </si>
  <si>
    <t>Community: Concerns about noise, traffic, and environmental impact. Constituents also voiced concern about cumulative impacts of multiple data centers being constructed in New Castle county.</t>
  </si>
  <si>
    <t>Public comments against the project have been submitted to New Castle County and posted on social media. The New Castle County Council is in the process of deciding whether newly-passed data center regulations should be applied to the Verdantas project.</t>
  </si>
  <si>
    <t>The developer has addressed concerns by submitting the required parking, traffic, and environmental impact assessments to satisfy the conditions for previously withheld permits.</t>
  </si>
  <si>
    <t>https://assets.delawarebusinesstimes.com/wp-content/uploads/2025/12/White-Clay-Corporate-Center-Letter-November.pdf</t>
  </si>
  <si>
    <t>Storage Data Center Project</t>
  </si>
  <si>
    <t>N/A (County ordinance in anticipation of future data centers)</t>
  </si>
  <si>
    <t>Tioga</t>
  </si>
  <si>
    <t>Community: Concerns regarding the absence of county-wide zoning and the rapid pace of data center development in neighboring areas have led Tioga County to implement an ordinance aimed at protecting environmental resources.</t>
  </si>
  <si>
    <t>In response to potential data center growth, Tioga County has enacted an ordinance establishing zoning restrictions to limit development near residential areas and scenic landscapes.</t>
  </si>
  <si>
    <t>https://www.tiogacountypa.us/getmedia/8f770a00-d107-488f-8a49-6a15b03a141a/Tioga-County-Data-Centers-Ordinance-Final-12-15-25.pdf</t>
  </si>
  <si>
    <t>TIMELINES</t>
  </si>
  <si>
    <t>Proposal/Announcement</t>
  </si>
  <si>
    <t>Sale of Data Center to AWS Annouced</t>
  </si>
  <si>
    <t>Project Announced</t>
  </si>
  <si>
    <t>Klondike submits proposal to the Pennsylvania Department of Environmental Protection</t>
  </si>
  <si>
    <t>Project Proposal</t>
  </si>
  <si>
    <t>Developer submits exploratory plan to New Castle County</t>
  </si>
  <si>
    <t>Verdantas proposes data center in New Castle</t>
  </si>
  <si>
    <t>Tioga County passes data center ordinance</t>
  </si>
  <si>
    <t>Proposal Date</t>
  </si>
  <si>
    <t>2025-02</t>
  </si>
  <si>
    <t>2024-12</t>
  </si>
  <si>
    <t>Proposal Source</t>
  </si>
  <si>
    <t>https://files.dep.state.pa.us/RegionalResources/NCRO/NCROPortalFiles/CommunityInformation/Wyalusing_Energy_Center_PAApp_Redacted.pdf</t>
  </si>
  <si>
    <t>https://www3.newcastlede.gov/project/details/default.aspx?ProjectKey=793134</t>
  </si>
  <si>
    <t>Development 1</t>
  </si>
  <si>
    <t>Construction Begins</t>
  </si>
  <si>
    <t>Windstream acquires Ephrata Data Center and D&amp;E Communications for $330 million</t>
  </si>
  <si>
    <t>Pennsylvania Department of Environmental Protection approves redevelopment plans</t>
  </si>
  <si>
    <t>Project approved by state of PA</t>
  </si>
  <si>
    <t>Developer issues joint comment-response document with PA DEP addressing environmental concerns</t>
  </si>
  <si>
    <t>American Tower Corporation meets with East Greenwich Township to review project</t>
  </si>
  <si>
    <t>Developer posts permitting signs on property</t>
  </si>
  <si>
    <t>Verdantas submits exploratory plan for White Clay Creek Redevelopment</t>
  </si>
  <si>
    <t>Date 1</t>
  </si>
  <si>
    <t>D1 Source</t>
  </si>
  <si>
    <t>https://www.pa.gov/agencies/dep/dep-regions/northwest-regional-office/homer-city-generation-redevelopment</t>
  </si>
  <si>
    <t>https://www.pa.gov/agencies/oto/fasttrack/pennsylvaniadigital1</t>
  </si>
  <si>
    <t>https://files.dep.state.pa.us/RegionalResources/NCRO/NCROPortalFiles/CommunityInformation/KDI%20Comment%20Response%20Document.pdf</t>
  </si>
  <si>
    <t>https://woodburywarbler.com/what-the-documents-show-following-the-paper-trail-on-the-american-tower-data-center/</t>
  </si>
  <si>
    <t>https://www3.newcastlede.gov/PDFDocument/default.aspx?DocumentID=80:FC40FF5826FBF7107D10260598B6C0724428DD1196872F86C5E68CE881F951C21D41AA30574486CF07826A32D4B743AA&amp;x=temp.pdf</t>
  </si>
  <si>
    <t>https://www3.newcastlede.gov/PDFDocument/default.aspx?DocumentID=80:FC40FF5826FBF7107D10260598B6C0724428DD1196872F86C5E68CE881F951C2BD306193DE6BA01D86AE058FFE85550A&amp;x=temp.pdf</t>
  </si>
  <si>
    <t>Development 2</t>
  </si>
  <si>
    <t xml:space="preserve">Construction Completed </t>
  </si>
  <si>
    <t>City council passes PILOT exemption for data center</t>
  </si>
  <si>
    <t>Construction begins</t>
  </si>
  <si>
    <t>Hazle Township votes against NorthPoint's development plans</t>
  </si>
  <si>
    <t>Latest construction may commence per air quality permits</t>
  </si>
  <si>
    <t>American Tower Corporation files site plan</t>
  </si>
  <si>
    <t>New Castle County passes ordinance to establish data center zoning</t>
  </si>
  <si>
    <t>Date 2</t>
  </si>
  <si>
    <t>2025-11</t>
  </si>
  <si>
    <t>2027-04</t>
  </si>
  <si>
    <t>D2 Source</t>
  </si>
  <si>
    <t>https://vinelandnj.portal.civicclerk.com/event/46/files/attachment/1926</t>
  </si>
  <si>
    <t>https://www.bizjournals.com/pittsburgh/news/2026/04/01/homer-city-redevelopment-project-construction.html</t>
  </si>
  <si>
    <t>https://www.wvia.org/news/local/2026-02-18/residents-raise-questions-as-developer-describes-hazle-twp-data-center-plans-at-dep-hearing</t>
  </si>
  <si>
    <t>https://paenvironmentdaily.blogspot.com/2025/10/pa-oil-gas-industrial-facilities-permit_24.html</t>
  </si>
  <si>
    <t>https://www.newcastlede.gov/m/newsflash/home/detail/2615</t>
  </si>
  <si>
    <t>Development 3</t>
  </si>
  <si>
    <t>Talen sells data center to Amazon Web Services for $650 million</t>
  </si>
  <si>
    <t>DataOne is denied $6 million loan due to community opposition</t>
  </si>
  <si>
    <t>Pennsylvania Department of Environmental Protection holds hearing about project impact</t>
  </si>
  <si>
    <t>East Greenwich Township Committee approves ban on data centers</t>
  </si>
  <si>
    <t>Date 3</t>
  </si>
  <si>
    <t>D3 Source</t>
  </si>
  <si>
    <t>https://www.spglobal.com/market-intelligence/en/news-insights/articles/2024/3/talen-energy-sells-pa-datacenter-campus-to-amazon-web-services-for-650m-80711401</t>
  </si>
  <si>
    <t>https://whyy.org/articles/cherry-hill-data-center-new-jersey-fleisher-sherrill/</t>
  </si>
  <si>
    <t>Development 4</t>
  </si>
  <si>
    <t xml:space="preserve"> Federal Energy Regulatory Commission (FERC) blocks proposed interconnection service agreement (ISA) to increase load to data center</t>
  </si>
  <si>
    <t>Project scaled back from 2.4 million sq feet to 718,000 square feet</t>
  </si>
  <si>
    <t>Judge rules in favor of Hazle's rejection of NorthPoint's plans</t>
  </si>
  <si>
    <t>Date 4</t>
  </si>
  <si>
    <t>D4 Source</t>
  </si>
  <si>
    <t>https://www.standardspeaker.com/2026/05/28/judge-rules-against-project-hazelnut-data-center/</t>
  </si>
  <si>
    <t xml:space="preserve">Kingsboro Data Center Campus </t>
  </si>
  <si>
    <t>Energy Storage Solutions, LLC</t>
  </si>
  <si>
    <t>NC</t>
  </si>
  <si>
    <t>Edgecombe</t>
  </si>
  <si>
    <t>Net zero; natgas lines; EMP Hardened</t>
  </si>
  <si>
    <t>500 employees</t>
  </si>
  <si>
    <t>Positive</t>
  </si>
  <si>
    <t>County Board of Commissioners amended ordinances to allow construction; sale of public land</t>
  </si>
  <si>
    <t/>
  </si>
  <si>
    <t>https://www.newsobserver.com/news/business/article313027720.html</t>
  </si>
  <si>
    <t>https://energystoragesolutionsllc.com/#30122b4d-3b71-43ef-8905-2f727b8b2742</t>
  </si>
  <si>
    <t>Tarboro Data Center Campus</t>
  </si>
  <si>
    <t>Tarboro</t>
  </si>
  <si>
    <t>Net zero; natgas lines, substation and solar; build own substation; EMP hardened</t>
  </si>
  <si>
    <t>Natural gas, Solar</t>
  </si>
  <si>
    <t>500 Employees, 11m/yr in revenue</t>
  </si>
  <si>
    <t>Water, Climate, QOL</t>
  </si>
  <si>
    <t>Town of Tarboro denied special permit</t>
  </si>
  <si>
    <t>Appeal to Superior County Court</t>
  </si>
  <si>
    <t>https://www.datacenterdynamics.com/en/news/developers-to-appeal-data-center-rejection-in-tarboro-north-carolina/</t>
  </si>
  <si>
    <t>https://www.connectcre.com/stories/energy-storage-solutions-seeking-permit-for-6-4b-data-center/</t>
  </si>
  <si>
    <t>https://www.newsobserver.com/news/business/article312048998.html</t>
  </si>
  <si>
    <t>https://cms5.revize.com/revize/tarboronc/Document%20Center/Agenda%20&amp;%20Minutes/2025/Minutes/9-8-25m.pdf?t=202510141005300&amp;t=202510141005300</t>
  </si>
  <si>
    <t>Microsoft Stover North Data Center</t>
  </si>
  <si>
    <t>Microsoft</t>
  </si>
  <si>
    <t>1B Joint</t>
  </si>
  <si>
    <t>Catawba</t>
  </si>
  <si>
    <t>Hickory</t>
  </si>
  <si>
    <t>Duke Energy dedicated substation, deal for 4.5 GW</t>
  </si>
  <si>
    <t>Part of $1b investment in Catawba over 10 years</t>
  </si>
  <si>
    <t>https://saw-reg.usace.army.mil/PN/2023/SAW-2022-02515-PN.pdf</t>
  </si>
  <si>
    <t>Microsoft Lyle Creek Data Center</t>
  </si>
  <si>
    <t>Conover</t>
  </si>
  <si>
    <t>Two nearby substations</t>
  </si>
  <si>
    <t>https://saw-reg.usace.army.mil/PN/2023/SAW-2023-00898-PN.pdf</t>
  </si>
  <si>
    <t>Microsoft Boyd Farm Data Center</t>
  </si>
  <si>
    <t>Maiden</t>
  </si>
  <si>
    <t>https://saw-reg.usace.army.mil/PN/2023/SAW-2023-00665-PN.pdf</t>
  </si>
  <si>
    <t>Balico Data Center Megacampus</t>
  </si>
  <si>
    <t>Balico, LLC</t>
  </si>
  <si>
    <t>VA</t>
  </si>
  <si>
    <t>Pittsylvania</t>
  </si>
  <si>
    <t>Chatham</t>
  </si>
  <si>
    <t>Cancelled - Withdrawn</t>
  </si>
  <si>
    <t>On-site gas powerplant included in construction</t>
  </si>
  <si>
    <t>390 jobs between dc and plant, +$50-184m in annual taxes</t>
  </si>
  <si>
    <t>QOL, Climate, Governmental Economic</t>
  </si>
  <si>
    <t>County Board denied revision</t>
  </si>
  <si>
    <t>Revised then withdrew proposal, cancelled data center</t>
  </si>
  <si>
    <t>https://cardinalnews.org/2025/04/14/balico-withdraws-data-center-proposal-for-pittsylvania-after-months-of-resident-pushback-and-vote-postponements/</t>
  </si>
  <si>
    <t>CleanArc Campus</t>
  </si>
  <si>
    <t>CleanArc</t>
  </si>
  <si>
    <t>Caroline</t>
  </si>
  <si>
    <t>2030+</t>
  </si>
  <si>
    <t>50 jobs, revenue, quality of life; largest investment ever in the county</t>
  </si>
  <si>
    <t>County Board claims it set exacting standards: buffering from communities, noise abatement provisions, screening requirements, and the prohibition of the use of potable water for industrial cooling</t>
  </si>
  <si>
    <t>https://www.vedp.org/press-release/2025-11/cleanarc-caroline</t>
  </si>
  <si>
    <t>https://www.cleanarcdatacenters.com/press-release/cleanarc-data-centers-adds-300mw-to-planned-capacity-for-virginia-hyperscale-campus-2/</t>
  </si>
  <si>
    <t>Botetourt Data Center Campus</t>
  </si>
  <si>
    <t>Google</t>
  </si>
  <si>
    <t>Botetourt</t>
  </si>
  <si>
    <t>N/D</t>
  </si>
  <si>
    <t>Stafford technology Campus</t>
  </si>
  <si>
    <t>STACK Infrastructure</t>
  </si>
  <si>
    <t>$80M in annual tax revenue, 1000 construction jobs</t>
  </si>
  <si>
    <t>https://www.stackinfra.com/about/news-press/press-releases/stack-infrastructure-announces-landmark-1gw-stafford-technology-campus-in-northern-virginia/</t>
  </si>
  <si>
    <t>EdgeCore Louisiana</t>
  </si>
  <si>
    <t>Apex City Data Center</t>
  </si>
  <si>
    <t>Add groupings?</t>
  </si>
  <si>
    <t>Look at city council / commission minutes</t>
  </si>
  <si>
    <t>Types of concerns: infrastructure, nuisance, climate, economic</t>
  </si>
  <si>
    <t xml:space="preserve">Concern Types? E, G, 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</si>
</sst>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mmm\-yyyy"/>
  </numFmts>
  <fonts count="9">
    <font>
      <sz val="12"/>
      <color theme="1"/>
      <name val="Aptos Narrow"/>
      <family val="2"/>
      <scheme val="minor"/>
    </font>
    <font>
      <b/>
      <sz val="12"/>
      <color theme="1"/>
      <name val="Aptos Narrow"/>
      <scheme val="minor"/>
    </font>
    <font>
      <u/>
      <sz val="12"/>
      <color theme="10"/>
      <name val="Aptos Narrow"/>
      <family val="2"/>
      <scheme val="minor"/>
    </font>
    <font>
      <sz val="12"/>
      <color rgb="FF000000"/>
      <name val="Aptos Narrow"/>
      <family val="2"/>
      <scheme val="minor"/>
    </font>
    <font>
      <b/>
      <sz val="12"/>
      <color theme="1"/>
      <name val="Aptos Narrow"/>
      <family val="2"/>
      <scheme val="minor"/>
    </font>
    <font>
      <b/>
      <sz val="12"/>
      <color rgb="FF000000"/>
      <name val="Aptos Narrow"/>
      <scheme val="minor"/>
    </font>
    <font>
      <sz val="12"/>
      <color theme="1"/>
      <name val="Aptos Narrow"/>
      <scheme val="minor"/>
    </font>
    <font>
      <sz val="12"/>
      <color rgb="FF000000"/>
      <name val="Aptos Narrow"/>
      <scheme val="minor"/>
    </font>
    <font>
      <sz val="12"/>
      <color theme="1"/>
      <name val="Arial"/>
      <family val="2"/>
    </font>
  </fonts>
  <fills count="6">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0" fontId="1" fillId="0" borderId="0" xfId="0" applyFont="1"/>
    <xf numFmtId="0" fontId="0" fillId="0" borderId="0" xfId="0" quotePrefix="1"/>
    <xf numFmtId="0" fontId="0" fillId="2" borderId="0" xfId="0" applyFill="1"/>
    <xf numFmtId="0" fontId="3" fillId="2" borderId="0" xfId="0" applyFont="1" applyFill="1"/>
    <xf numFmtId="0" fontId="0" fillId="3" borderId="0" xfId="0" applyFill="1"/>
    <xf numFmtId="3" fontId="0" fillId="0" borderId="0" xfId="0" applyNumberFormat="1"/>
    <xf numFmtId="0" fontId="2" fillId="0" borderId="0" xfId="1" applyAlignment="1"/>
    <xf numFmtId="0" fontId="2" fillId="0" borderId="0" xfId="1"/>
    <xf numFmtId="0" fontId="2" fillId="0" borderId="0" xfId="1" quotePrefix="1"/>
    <xf numFmtId="1" fontId="0" fillId="0" borderId="0" xfId="0" applyNumberFormat="1"/>
    <xf numFmtId="164" fontId="0" fillId="0" borderId="0" xfId="0" applyNumberFormat="1"/>
    <xf numFmtId="49" fontId="1" fillId="4" borderId="0" xfId="0" applyNumberFormat="1" applyFont="1" applyFill="1"/>
    <xf numFmtId="0" fontId="1" fillId="4" borderId="0" xfId="0" applyFont="1" applyFill="1"/>
    <xf numFmtId="0" fontId="1" fillId="5" borderId="0" xfId="0" applyFont="1" applyFill="1"/>
    <xf numFmtId="0" fontId="4" fillId="4" borderId="1" xfId="0" applyFont="1" applyFill="1" applyBorder="1" applyAlignment="1">
      <alignment wrapText="1"/>
    </xf>
    <xf numFmtId="0" fontId="4" fillId="0" borderId="0" xfId="0" applyFont="1" applyAlignment="1">
      <alignment wrapText="1"/>
    </xf>
    <xf numFmtId="0" fontId="0" fillId="0" borderId="0" xfId="0" applyAlignment="1">
      <alignment wrapText="1"/>
    </xf>
    <xf numFmtId="0" fontId="7" fillId="0" borderId="0" xfId="0" applyFont="1" applyAlignment="1">
      <alignment wrapText="1"/>
    </xf>
    <xf numFmtId="0" fontId="6" fillId="0" borderId="0" xfId="0" applyFont="1" applyAlignment="1">
      <alignment wrapText="1"/>
    </xf>
    <xf numFmtId="0" fontId="5" fillId="0" borderId="0" xfId="0" applyFont="1" applyAlignment="1">
      <alignment wrapText="1"/>
    </xf>
    <xf numFmtId="49" fontId="6" fillId="0" borderId="0" xfId="0" applyNumberFormat="1" applyFont="1"/>
    <xf numFmtId="0" fontId="4" fillId="4" borderId="1" xfId="0" applyFont="1" applyFill="1" applyBorder="1"/>
    <xf numFmtId="15" fontId="0" fillId="0" borderId="0" xfId="0" applyNumberFormat="1" applyAlignment="1">
      <alignment wrapText="1"/>
    </xf>
    <xf numFmtId="17" fontId="0" fillId="0" borderId="0" xfId="0" applyNumberFormat="1" applyAlignment="1">
      <alignment wrapText="1"/>
    </xf>
    <xf numFmtId="14" fontId="0" fillId="0" borderId="0" xfId="0" applyNumberFormat="1" applyAlignment="1">
      <alignment wrapText="1"/>
    </xf>
    <xf numFmtId="0" fontId="2" fillId="0" borderId="0" xfId="1" applyAlignment="1">
      <alignment wrapText="1"/>
    </xf>
    <xf numFmtId="165" fontId="8" fillId="0" borderId="0" xfId="0" applyNumberFormat="1" applyFont="1"/>
    <xf numFmtId="165" fontId="0" fillId="0" borderId="0" xfId="0" applyNumberFormat="1" applyAlignment="1">
      <alignment wrapText="1"/>
    </xf>
    <xf numFmtId="14" fontId="0" fillId="0" borderId="0" xfId="0" applyNumberFormat="1"/>
    <xf numFmtId="17"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spglobal.com/market-intelligence/en/news-insights/articles/2024/3/talen-energy-sells-pa-datacenter-campus-to-amazon-web-services-for-650m-80711401" TargetMode="External"/><Relationship Id="rId7" Type="http://schemas.openxmlformats.org/officeDocument/2006/relationships/hyperlink" Target="https://ir.talenenergy.com/node/7206/pdf" TargetMode="External"/><Relationship Id="rId2" Type="http://schemas.openxmlformats.org/officeDocument/2006/relationships/hyperlink" Target="https://northwiseproject.com/nbis-stock-vineland-nj-data-center/" TargetMode="External"/><Relationship Id="rId1" Type="http://schemas.openxmlformats.org/officeDocument/2006/relationships/hyperlink" Target="https://vinelandnj.portal.civicclerk.com/event/46/files/attachment/1926" TargetMode="External"/><Relationship Id="rId6" Type="http://schemas.openxmlformats.org/officeDocument/2006/relationships/hyperlink" Target="https://www.datacenterdynamics.com/en/news/ferc-blocks-plan-for-susquehanna-nuclear-plant-interconnection-to-amazon-data-center/" TargetMode="External"/><Relationship Id="rId5" Type="http://schemas.openxmlformats.org/officeDocument/2006/relationships/hyperlink" Target="https://www.datacenterdynamics.com/en/news/talen-energy-to-build-300mw-nuclear-powered-cryptomining-facility-and-data-center-in-us/" TargetMode="External"/><Relationship Id="rId4" Type="http://schemas.openxmlformats.org/officeDocument/2006/relationships/hyperlink" Target="https://www.datacenterdynamics.com/en/news/talen-energy-finishes-construction-on-first-data-center-at-pennsylvania-nuclear-statio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saw-reg.usace.army.mil/PN/2023/SAW-2022-02515-PN.pdf" TargetMode="External"/><Relationship Id="rId3" Type="http://schemas.openxmlformats.org/officeDocument/2006/relationships/hyperlink" Target="https://energystoragesolutionsllc.com/" TargetMode="External"/><Relationship Id="rId7" Type="http://schemas.openxmlformats.org/officeDocument/2006/relationships/hyperlink" Target="https://cms5.revize.com/revize/tarboronc/Document%20Center/Agenda%20&amp;%20Minutes/2025/Minutes/9-8-25m.pdf?t=202510141005300&amp;t=202510141005300" TargetMode="External"/><Relationship Id="rId2" Type="http://schemas.openxmlformats.org/officeDocument/2006/relationships/hyperlink" Target="https://www.connectcre.com/stories/energy-storage-solutions-seeking-permit-for-6-4b-data-center/" TargetMode="External"/><Relationship Id="rId1" Type="http://schemas.openxmlformats.org/officeDocument/2006/relationships/hyperlink" Target="https://www.datacenterdynamics.com/en/news/developers-to-appeal-data-center-rejection-in-tarboro-north-carolina/" TargetMode="External"/><Relationship Id="rId6" Type="http://schemas.openxmlformats.org/officeDocument/2006/relationships/hyperlink" Target="https://www.cleanarcdatacenters.com/press-release/cleanarc-data-centers-adds-300mw-to-planned-capacity-for-virginia-hyperscale-campus-2/" TargetMode="External"/><Relationship Id="rId5" Type="http://schemas.openxmlformats.org/officeDocument/2006/relationships/hyperlink" Target="https://cardinalnews.org/2025/04/14/balico-withdraws-data-center-proposal-for-pittsylvania-after-months-of-resident-pushback-and-vote-postponements/" TargetMode="External"/><Relationship Id="rId10" Type="http://schemas.openxmlformats.org/officeDocument/2006/relationships/hyperlink" Target="https://saw-reg.usace.army.mil/PN/2023/SAW-2023-00665-PN.pdf" TargetMode="External"/><Relationship Id="rId4" Type="http://schemas.openxmlformats.org/officeDocument/2006/relationships/hyperlink" Target="https://www.vedp.org/press-release/2025-11/cleanarc-caroline" TargetMode="External"/><Relationship Id="rId9" Type="http://schemas.openxmlformats.org/officeDocument/2006/relationships/hyperlink" Target="https://saw-reg.usace.army.mil/PN/2023/SAW-2023-00898-P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A503A-38B4-F641-83ED-24806375356F}">
  <dimension ref="A1:AB40"/>
  <sheetViews>
    <sheetView topLeftCell="R1" zoomScale="119" workbookViewId="0">
      <pane ySplit="1" topLeftCell="T2" activePane="bottomLeft" state="frozen"/>
      <selection pane="bottomLeft" activeCell="Z6" sqref="Z6"/>
    </sheetView>
  </sheetViews>
  <sheetFormatPr defaultColWidth="11" defaultRowHeight="15.75" customHeight="1"/>
  <cols>
    <col min="1" max="1" width="38.125" style="21" customWidth="1"/>
    <col min="2" max="2" width="14.5" customWidth="1"/>
    <col min="3" max="3" width="18" style="11" customWidth="1"/>
    <col min="6" max="6" width="23.5" customWidth="1"/>
    <col min="7" max="7" width="19.875" style="10" customWidth="1"/>
    <col min="9" max="9" width="22" style="10" customWidth="1"/>
    <col min="10" max="10" width="20.375" style="10" customWidth="1"/>
    <col min="11" max="11" width="26.875" customWidth="1"/>
    <col min="12" max="12" width="31.625" customWidth="1"/>
    <col min="13" max="13" width="32.625" customWidth="1"/>
    <col min="14" max="14" width="33.625" customWidth="1"/>
    <col min="15" max="15" width="43.875" customWidth="1"/>
    <col min="16" max="16" width="22.625" customWidth="1"/>
    <col min="17" max="17" width="24" customWidth="1"/>
    <col min="18" max="18" width="24.375" customWidth="1"/>
    <col min="19" max="19" width="24" customWidth="1"/>
    <col min="20" max="22" width="18" customWidth="1"/>
    <col min="24" max="24" width="17.875" customWidth="1"/>
    <col min="25" max="25" width="15" customWidth="1"/>
    <col min="26" max="27" width="14.375" customWidth="1"/>
    <col min="28" max="28" width="14.125" customWidth="1"/>
  </cols>
  <sheetData>
    <row r="1" spans="1:28" s="14" customFormat="1">
      <c r="A1" s="12" t="s">
        <v>0</v>
      </c>
      <c r="B1" s="12" t="s">
        <v>1</v>
      </c>
      <c r="C1" s="13" t="s">
        <v>2</v>
      </c>
      <c r="D1" s="12" t="s">
        <v>3</v>
      </c>
      <c r="E1" s="12" t="s">
        <v>4</v>
      </c>
      <c r="F1" s="12" t="s">
        <v>5</v>
      </c>
      <c r="G1" s="13" t="s">
        <v>6</v>
      </c>
      <c r="H1" s="13" t="s">
        <v>7</v>
      </c>
      <c r="I1" s="13" t="s">
        <v>8</v>
      </c>
      <c r="J1" s="13" t="s">
        <v>9</v>
      </c>
      <c r="K1" s="12" t="s">
        <v>10</v>
      </c>
      <c r="L1" s="12" t="s">
        <v>11</v>
      </c>
      <c r="M1" s="12" t="s">
        <v>12</v>
      </c>
      <c r="N1" s="12" t="s">
        <v>13</v>
      </c>
      <c r="O1" s="12" t="s">
        <v>14</v>
      </c>
      <c r="P1" s="12" t="s">
        <v>15</v>
      </c>
      <c r="Q1" s="12" t="s">
        <v>16</v>
      </c>
      <c r="R1" s="12" t="s">
        <v>17</v>
      </c>
      <c r="S1" s="12" t="s">
        <v>18</v>
      </c>
      <c r="T1" s="12" t="s">
        <v>19</v>
      </c>
      <c r="U1" s="12" t="s">
        <v>20</v>
      </c>
      <c r="V1" s="12" t="s">
        <v>21</v>
      </c>
      <c r="W1" s="13" t="s">
        <v>22</v>
      </c>
      <c r="X1" s="13" t="s">
        <v>23</v>
      </c>
      <c r="Y1" s="13" t="s">
        <v>24</v>
      </c>
      <c r="Z1" s="13" t="s">
        <v>25</v>
      </c>
      <c r="AA1" s="13" t="s">
        <v>26</v>
      </c>
      <c r="AB1" s="13" t="s">
        <v>27</v>
      </c>
    </row>
    <row r="2" spans="1:28">
      <c r="A2" t="s">
        <v>28</v>
      </c>
      <c r="B2" t="s">
        <v>29</v>
      </c>
      <c r="C2">
        <v>0.65</v>
      </c>
      <c r="D2" t="s">
        <v>30</v>
      </c>
      <c r="E2" t="s">
        <v>31</v>
      </c>
      <c r="F2" t="s">
        <v>32</v>
      </c>
      <c r="G2">
        <v>960</v>
      </c>
      <c r="H2">
        <v>1200</v>
      </c>
      <c r="I2" s="29">
        <v>44378</v>
      </c>
      <c r="J2" s="29">
        <v>44927</v>
      </c>
      <c r="K2" t="s">
        <v>33</v>
      </c>
      <c r="L2" t="s">
        <v>34</v>
      </c>
      <c r="M2" t="s">
        <v>35</v>
      </c>
      <c r="N2" t="s">
        <v>36</v>
      </c>
      <c r="O2" t="s">
        <v>37</v>
      </c>
      <c r="P2" t="s">
        <v>38</v>
      </c>
      <c r="Q2" t="s">
        <v>39</v>
      </c>
      <c r="R2" t="s">
        <v>40</v>
      </c>
      <c r="S2" t="s">
        <v>41</v>
      </c>
      <c r="T2" t="s">
        <v>42</v>
      </c>
      <c r="U2">
        <v>41.0839630042558</v>
      </c>
      <c r="V2">
        <v>-76.143510042648302</v>
      </c>
      <c r="W2" s="30">
        <v>46143</v>
      </c>
      <c r="X2" t="s">
        <v>43</v>
      </c>
      <c r="Y2" t="s">
        <v>44</v>
      </c>
      <c r="Z2" t="s">
        <v>45</v>
      </c>
      <c r="AA2" t="s">
        <v>46</v>
      </c>
      <c r="AB2" t="s">
        <v>47</v>
      </c>
    </row>
    <row r="3" spans="1:28">
      <c r="A3" t="s">
        <v>48</v>
      </c>
      <c r="B3" t="s">
        <v>49</v>
      </c>
      <c r="C3">
        <v>17.399999999999999</v>
      </c>
      <c r="D3" t="s">
        <v>50</v>
      </c>
      <c r="E3" t="s">
        <v>51</v>
      </c>
      <c r="F3" t="s">
        <v>52</v>
      </c>
      <c r="G3">
        <v>350</v>
      </c>
      <c r="H3">
        <v>16</v>
      </c>
      <c r="I3" s="29">
        <v>45717</v>
      </c>
      <c r="J3" s="29">
        <v>46327</v>
      </c>
      <c r="K3" t="s">
        <v>53</v>
      </c>
      <c r="L3" t="s">
        <v>54</v>
      </c>
      <c r="M3" t="s">
        <v>55</v>
      </c>
      <c r="N3" t="s">
        <v>56</v>
      </c>
      <c r="O3" t="s">
        <v>57</v>
      </c>
      <c r="P3" t="s">
        <v>58</v>
      </c>
      <c r="Q3" t="s">
        <v>59</v>
      </c>
      <c r="R3" t="s">
        <v>60</v>
      </c>
      <c r="S3" t="s">
        <v>61</v>
      </c>
      <c r="T3" t="s">
        <v>62</v>
      </c>
      <c r="U3">
        <v>39.427754165466602</v>
      </c>
      <c r="V3">
        <v>-75.016698645340099</v>
      </c>
      <c r="W3" s="30">
        <v>46143</v>
      </c>
      <c r="X3" t="s">
        <v>63</v>
      </c>
      <c r="Y3" t="s">
        <v>64</v>
      </c>
      <c r="Z3" t="s">
        <v>65</v>
      </c>
      <c r="AA3" t="s">
        <v>66</v>
      </c>
    </row>
    <row r="4" spans="1:28">
      <c r="A4" t="s">
        <v>67</v>
      </c>
      <c r="B4" t="s">
        <v>68</v>
      </c>
      <c r="C4" t="s">
        <v>69</v>
      </c>
      <c r="D4" t="s">
        <v>30</v>
      </c>
      <c r="E4" t="s">
        <v>70</v>
      </c>
      <c r="F4" t="s">
        <v>71</v>
      </c>
      <c r="G4"/>
      <c r="I4"/>
      <c r="J4" t="s">
        <v>72</v>
      </c>
      <c r="K4" t="s">
        <v>33</v>
      </c>
      <c r="M4" t="s">
        <v>73</v>
      </c>
      <c r="P4" t="s">
        <v>74</v>
      </c>
      <c r="Q4" t="s">
        <v>39</v>
      </c>
      <c r="R4" t="s">
        <v>40</v>
      </c>
      <c r="S4" t="s">
        <v>75</v>
      </c>
      <c r="U4">
        <v>40.169900850124897</v>
      </c>
      <c r="V4">
        <v>-76.177913739009796</v>
      </c>
      <c r="W4" s="30">
        <v>46174</v>
      </c>
      <c r="X4" t="s">
        <v>76</v>
      </c>
      <c r="Y4" t="s">
        <v>77</v>
      </c>
    </row>
    <row r="5" spans="1:28">
      <c r="A5" t="s">
        <v>78</v>
      </c>
      <c r="B5" t="s">
        <v>79</v>
      </c>
      <c r="C5">
        <v>10</v>
      </c>
      <c r="D5" t="s">
        <v>30</v>
      </c>
      <c r="E5" t="s">
        <v>80</v>
      </c>
      <c r="F5" t="s">
        <v>81</v>
      </c>
      <c r="G5">
        <v>4500</v>
      </c>
      <c r="H5">
        <v>3200</v>
      </c>
      <c r="I5">
        <v>2026</v>
      </c>
      <c r="J5">
        <v>2027</v>
      </c>
      <c r="K5" t="s">
        <v>82</v>
      </c>
      <c r="L5" t="s">
        <v>83</v>
      </c>
      <c r="M5" t="s">
        <v>84</v>
      </c>
      <c r="N5" t="s">
        <v>85</v>
      </c>
      <c r="O5" t="s">
        <v>86</v>
      </c>
      <c r="P5" t="s">
        <v>87</v>
      </c>
      <c r="Q5" t="s">
        <v>59</v>
      </c>
      <c r="R5" t="s">
        <v>88</v>
      </c>
      <c r="S5" t="s">
        <v>89</v>
      </c>
      <c r="T5" t="s">
        <v>90</v>
      </c>
      <c r="U5">
        <v>40.509833556025001</v>
      </c>
      <c r="V5">
        <v>-79.204556474127799</v>
      </c>
      <c r="W5" s="30">
        <v>46174</v>
      </c>
      <c r="X5" t="s">
        <v>91</v>
      </c>
    </row>
    <row r="6" spans="1:28">
      <c r="A6" t="s">
        <v>92</v>
      </c>
      <c r="B6" t="s">
        <v>93</v>
      </c>
      <c r="C6">
        <v>15</v>
      </c>
      <c r="D6" t="s">
        <v>30</v>
      </c>
      <c r="E6" t="s">
        <v>51</v>
      </c>
      <c r="F6" t="s">
        <v>94</v>
      </c>
      <c r="G6">
        <v>1350</v>
      </c>
      <c r="H6">
        <v>700</v>
      </c>
      <c r="I6">
        <v>2025</v>
      </c>
      <c r="J6">
        <v>2027</v>
      </c>
      <c r="K6" t="s">
        <v>82</v>
      </c>
      <c r="L6" t="s">
        <v>95</v>
      </c>
      <c r="M6" t="s">
        <v>73</v>
      </c>
      <c r="N6" t="s">
        <v>96</v>
      </c>
      <c r="O6" t="s">
        <v>97</v>
      </c>
      <c r="P6" t="s">
        <v>98</v>
      </c>
      <c r="Q6" t="s">
        <v>59</v>
      </c>
      <c r="R6" t="s">
        <v>88</v>
      </c>
      <c r="S6" t="s">
        <v>99</v>
      </c>
      <c r="T6" t="s">
        <v>100</v>
      </c>
      <c r="U6">
        <v>40.256078134469199</v>
      </c>
      <c r="V6">
        <v>-77.118686893442998</v>
      </c>
      <c r="W6" s="30">
        <v>46174</v>
      </c>
      <c r="X6" t="s">
        <v>101</v>
      </c>
    </row>
    <row r="7" spans="1:28">
      <c r="A7" t="s">
        <v>102</v>
      </c>
      <c r="B7" t="s">
        <v>103</v>
      </c>
      <c r="C7">
        <v>6</v>
      </c>
      <c r="D7" t="s">
        <v>30</v>
      </c>
      <c r="E7" t="s">
        <v>70</v>
      </c>
      <c r="F7" t="s">
        <v>70</v>
      </c>
      <c r="G7">
        <v>300</v>
      </c>
      <c r="H7" t="s">
        <v>104</v>
      </c>
      <c r="I7">
        <v>2025</v>
      </c>
      <c r="J7" t="s">
        <v>105</v>
      </c>
      <c r="K7" t="s">
        <v>82</v>
      </c>
      <c r="L7" t="s">
        <v>106</v>
      </c>
      <c r="M7" t="s">
        <v>73</v>
      </c>
      <c r="N7" t="s">
        <v>107</v>
      </c>
      <c r="O7" t="s">
        <v>108</v>
      </c>
      <c r="P7" t="s">
        <v>109</v>
      </c>
      <c r="Q7" t="s">
        <v>39</v>
      </c>
      <c r="R7" t="s">
        <v>88</v>
      </c>
      <c r="S7" t="s">
        <v>90</v>
      </c>
      <c r="T7" t="s">
        <v>110</v>
      </c>
      <c r="U7">
        <v>40.059556710676297</v>
      </c>
      <c r="V7">
        <v>-76.329956789493707</v>
      </c>
      <c r="W7" s="30">
        <v>46174</v>
      </c>
      <c r="X7" t="s">
        <v>111</v>
      </c>
    </row>
    <row r="8" spans="1:28">
      <c r="A8" t="s">
        <v>112</v>
      </c>
      <c r="B8" t="s">
        <v>113</v>
      </c>
      <c r="C8" t="s">
        <v>69</v>
      </c>
      <c r="D8" t="s">
        <v>30</v>
      </c>
      <c r="E8" t="s">
        <v>31</v>
      </c>
      <c r="F8" t="s">
        <v>114</v>
      </c>
      <c r="G8" s="6">
        <v>1980</v>
      </c>
      <c r="H8" s="6">
        <v>1306</v>
      </c>
      <c r="I8">
        <v>2026</v>
      </c>
      <c r="J8">
        <v>2029</v>
      </c>
      <c r="K8" t="s">
        <v>115</v>
      </c>
      <c r="L8" t="s">
        <v>116</v>
      </c>
      <c r="M8" t="s">
        <v>73</v>
      </c>
      <c r="N8" t="s">
        <v>117</v>
      </c>
      <c r="O8" t="s">
        <v>118</v>
      </c>
      <c r="P8" t="s">
        <v>119</v>
      </c>
      <c r="Q8" t="s">
        <v>59</v>
      </c>
      <c r="R8" t="s">
        <v>60</v>
      </c>
      <c r="S8" t="s">
        <v>120</v>
      </c>
      <c r="T8" t="s">
        <v>121</v>
      </c>
      <c r="U8">
        <v>40.957318781435703</v>
      </c>
      <c r="V8">
        <v>-76.034823078010803</v>
      </c>
      <c r="W8" s="30">
        <v>46174</v>
      </c>
      <c r="X8" t="s">
        <v>122</v>
      </c>
    </row>
    <row r="9" spans="1:28">
      <c r="A9" t="s">
        <v>123</v>
      </c>
      <c r="B9" t="s">
        <v>124</v>
      </c>
      <c r="C9" t="s">
        <v>69</v>
      </c>
      <c r="D9" t="s">
        <v>30</v>
      </c>
      <c r="E9" t="s">
        <v>125</v>
      </c>
      <c r="F9" t="s">
        <v>126</v>
      </c>
      <c r="G9">
        <v>248</v>
      </c>
      <c r="H9">
        <v>14</v>
      </c>
      <c r="I9" t="s">
        <v>127</v>
      </c>
      <c r="J9" t="s">
        <v>128</v>
      </c>
      <c r="K9" t="s">
        <v>115</v>
      </c>
      <c r="L9" t="s">
        <v>129</v>
      </c>
      <c r="M9" t="s">
        <v>130</v>
      </c>
      <c r="N9" t="s">
        <v>131</v>
      </c>
      <c r="O9" t="s">
        <v>86</v>
      </c>
      <c r="P9" t="s">
        <v>132</v>
      </c>
      <c r="Q9" t="s">
        <v>59</v>
      </c>
      <c r="R9" t="s">
        <v>133</v>
      </c>
      <c r="S9" t="s">
        <v>134</v>
      </c>
      <c r="T9" t="s">
        <v>135</v>
      </c>
      <c r="U9">
        <v>41.6542555106668</v>
      </c>
      <c r="V9">
        <v>-76.2332393906146</v>
      </c>
      <c r="W9" s="30">
        <v>46174</v>
      </c>
      <c r="X9" t="s">
        <v>136</v>
      </c>
    </row>
    <row r="10" spans="1:28">
      <c r="A10" t="s">
        <v>137</v>
      </c>
      <c r="B10" t="s">
        <v>138</v>
      </c>
      <c r="C10" t="s">
        <v>69</v>
      </c>
      <c r="D10" t="s">
        <v>50</v>
      </c>
      <c r="E10" t="s">
        <v>139</v>
      </c>
      <c r="F10" t="s">
        <v>140</v>
      </c>
      <c r="G10">
        <v>4</v>
      </c>
      <c r="H10">
        <v>6</v>
      </c>
      <c r="I10" t="s">
        <v>128</v>
      </c>
      <c r="J10" t="s">
        <v>128</v>
      </c>
      <c r="K10" t="s">
        <v>115</v>
      </c>
      <c r="L10" t="s">
        <v>141</v>
      </c>
      <c r="M10" t="s">
        <v>73</v>
      </c>
      <c r="N10" t="s">
        <v>142</v>
      </c>
      <c r="O10" t="s">
        <v>108</v>
      </c>
      <c r="P10" t="s">
        <v>143</v>
      </c>
      <c r="Q10" t="s">
        <v>59</v>
      </c>
      <c r="R10" t="s">
        <v>60</v>
      </c>
      <c r="S10" t="s">
        <v>144</v>
      </c>
      <c r="T10" t="s">
        <v>145</v>
      </c>
      <c r="U10">
        <v>39.801086672494399</v>
      </c>
      <c r="V10">
        <v>-75.199362258065605</v>
      </c>
      <c r="W10" s="30">
        <v>46174</v>
      </c>
      <c r="X10" t="s">
        <v>146</v>
      </c>
    </row>
    <row r="11" spans="1:28">
      <c r="A11" t="s">
        <v>147</v>
      </c>
      <c r="B11" t="s">
        <v>148</v>
      </c>
      <c r="C11" t="s">
        <v>128</v>
      </c>
      <c r="D11" t="s">
        <v>149</v>
      </c>
      <c r="E11" t="s">
        <v>150</v>
      </c>
      <c r="F11" t="s">
        <v>151</v>
      </c>
      <c r="G11" t="s">
        <v>152</v>
      </c>
      <c r="H11" s="6">
        <v>1500</v>
      </c>
      <c r="I11" t="s">
        <v>128</v>
      </c>
      <c r="J11" t="s">
        <v>128</v>
      </c>
      <c r="K11" t="s">
        <v>153</v>
      </c>
      <c r="L11" t="s">
        <v>154</v>
      </c>
      <c r="M11" t="s">
        <v>73</v>
      </c>
      <c r="N11" t="s">
        <v>155</v>
      </c>
      <c r="O11" t="s">
        <v>108</v>
      </c>
      <c r="P11" t="s">
        <v>156</v>
      </c>
      <c r="Q11" t="s">
        <v>59</v>
      </c>
      <c r="R11" t="s">
        <v>88</v>
      </c>
      <c r="S11" t="s">
        <v>157</v>
      </c>
      <c r="T11" t="s">
        <v>158</v>
      </c>
      <c r="U11">
        <v>39.527994229682001</v>
      </c>
      <c r="V11">
        <v>-75.647443987662797</v>
      </c>
      <c r="W11" s="30">
        <v>46174</v>
      </c>
      <c r="X11" t="s">
        <v>159</v>
      </c>
    </row>
    <row r="12" spans="1:28">
      <c r="A12" t="s">
        <v>160</v>
      </c>
      <c r="B12" t="s">
        <v>161</v>
      </c>
      <c r="C12" t="s">
        <v>128</v>
      </c>
      <c r="D12" t="s">
        <v>149</v>
      </c>
      <c r="E12" t="s">
        <v>150</v>
      </c>
      <c r="F12" t="s">
        <v>162</v>
      </c>
      <c r="G12" t="s">
        <v>128</v>
      </c>
      <c r="H12">
        <v>44</v>
      </c>
      <c r="I12" t="s">
        <v>128</v>
      </c>
      <c r="J12" t="s">
        <v>128</v>
      </c>
      <c r="K12" t="s">
        <v>153</v>
      </c>
      <c r="L12" t="s">
        <v>154</v>
      </c>
      <c r="M12" t="s">
        <v>73</v>
      </c>
      <c r="N12" t="s">
        <v>163</v>
      </c>
      <c r="O12" t="s">
        <v>164</v>
      </c>
      <c r="P12" t="s">
        <v>165</v>
      </c>
      <c r="Q12" t="s">
        <v>59</v>
      </c>
      <c r="R12" t="s">
        <v>133</v>
      </c>
      <c r="S12" t="s">
        <v>166</v>
      </c>
      <c r="T12" t="s">
        <v>167</v>
      </c>
      <c r="U12">
        <v>39.682625735723398</v>
      </c>
      <c r="V12">
        <v>-75.723298369143805</v>
      </c>
      <c r="W12" s="30">
        <v>46174</v>
      </c>
      <c r="X12" t="s">
        <v>168</v>
      </c>
    </row>
    <row r="13" spans="1:28">
      <c r="I13" s="27"/>
      <c r="J13" s="27"/>
    </row>
    <row r="14" spans="1:28">
      <c r="A14" t="s">
        <v>169</v>
      </c>
      <c r="B14" t="s">
        <v>170</v>
      </c>
      <c r="C14" t="s">
        <v>90</v>
      </c>
      <c r="D14" t="s">
        <v>30</v>
      </c>
      <c r="E14" t="s">
        <v>171</v>
      </c>
      <c r="F14" t="s">
        <v>90</v>
      </c>
      <c r="G14" t="s">
        <v>90</v>
      </c>
      <c r="H14" t="s">
        <v>90</v>
      </c>
      <c r="I14" t="s">
        <v>90</v>
      </c>
      <c r="J14" t="s">
        <v>90</v>
      </c>
      <c r="L14" t="s">
        <v>90</v>
      </c>
      <c r="M14" t="s">
        <v>90</v>
      </c>
      <c r="N14" t="s">
        <v>90</v>
      </c>
      <c r="O14" t="s">
        <v>164</v>
      </c>
      <c r="P14" t="s">
        <v>172</v>
      </c>
      <c r="Q14" t="s">
        <v>39</v>
      </c>
      <c r="R14" t="s">
        <v>133</v>
      </c>
      <c r="S14" t="s">
        <v>173</v>
      </c>
      <c r="T14" t="s">
        <v>90</v>
      </c>
      <c r="U14">
        <v>41.769141572758599</v>
      </c>
      <c r="V14">
        <v>-77.244375132117597</v>
      </c>
      <c r="W14" s="30">
        <v>46054</v>
      </c>
      <c r="X14" t="s">
        <v>174</v>
      </c>
    </row>
    <row r="15" spans="1:28">
      <c r="I15" s="27"/>
      <c r="J15" s="27"/>
    </row>
    <row r="16" spans="1:28">
      <c r="I16" s="27"/>
      <c r="J16" s="27"/>
    </row>
    <row r="17" spans="9:10">
      <c r="I17" s="27"/>
      <c r="J17" s="27"/>
    </row>
    <row r="18" spans="9:10">
      <c r="I18" s="27"/>
      <c r="J18" s="27"/>
    </row>
    <row r="19" spans="9:10">
      <c r="I19" s="27"/>
      <c r="J19" s="27"/>
    </row>
    <row r="20" spans="9:10">
      <c r="I20" s="27"/>
      <c r="J20" s="27"/>
    </row>
    <row r="21" spans="9:10">
      <c r="I21" s="27"/>
      <c r="J21" s="27"/>
    </row>
    <row r="22" spans="9:10">
      <c r="I22" s="27"/>
      <c r="J22" s="27"/>
    </row>
    <row r="23" spans="9:10">
      <c r="I23" s="27"/>
      <c r="J23" s="27"/>
    </row>
    <row r="24" spans="9:10">
      <c r="I24" s="27"/>
      <c r="J24" s="27"/>
    </row>
    <row r="25" spans="9:10">
      <c r="I25" s="27"/>
      <c r="J25" s="27"/>
    </row>
    <row r="26" spans="9:10">
      <c r="I26" s="27"/>
      <c r="J26" s="27"/>
    </row>
    <row r="27" spans="9:10">
      <c r="I27" s="27"/>
      <c r="J27" s="27"/>
    </row>
    <row r="28" spans="9:10">
      <c r="I28" s="27"/>
      <c r="J28" s="27"/>
    </row>
    <row r="29" spans="9:10">
      <c r="I29" s="27"/>
      <c r="J29" s="27"/>
    </row>
    <row r="30" spans="9:10">
      <c r="I30" s="27"/>
      <c r="J30" s="27"/>
    </row>
    <row r="31" spans="9:10">
      <c r="I31" s="27"/>
      <c r="J31" s="27"/>
    </row>
    <row r="32" spans="9:10">
      <c r="I32" s="27"/>
      <c r="J32" s="27"/>
    </row>
    <row r="33" spans="9:10">
      <c r="I33" s="27"/>
      <c r="J33" s="27"/>
    </row>
    <row r="34" spans="9:10">
      <c r="I34" s="27"/>
      <c r="J34" s="27"/>
    </row>
    <row r="35" spans="9:10">
      <c r="I35" s="27"/>
      <c r="J35" s="27"/>
    </row>
    <row r="36" spans="9:10">
      <c r="I36" s="27"/>
      <c r="J36" s="27"/>
    </row>
    <row r="37" spans="9:10">
      <c r="I37" s="27"/>
      <c r="J37" s="27"/>
    </row>
    <row r="38" spans="9:10">
      <c r="I38" s="27"/>
      <c r="J38" s="27"/>
    </row>
    <row r="39" spans="9:10">
      <c r="I39" s="27"/>
      <c r="J39" s="27"/>
    </row>
    <row r="40" spans="9:10">
      <c r="I40" s="27"/>
      <c r="J40" s="27"/>
    </row>
  </sheetData>
  <dataValidations count="4">
    <dataValidation type="list" allowBlank="1" showInputMessage="1" showErrorMessage="1" sqref="D13:D1048576" xr:uid="{7AF4A9E5-576D-1349-8588-A704978818C5}">
      <formula1>"PA, NJ, DE"</formula1>
    </dataValidation>
    <dataValidation type="list" allowBlank="1" showInputMessage="1" showErrorMessage="1" sqref="Q13:Q1048576" xr:uid="{62AC31C2-F021-9E4A-AD38-B31945903B11}">
      <formula1>"Negative,Neutral,Positive"</formula1>
    </dataValidation>
    <dataValidation type="list" allowBlank="1" showInputMessage="1" showErrorMessage="1" sqref="R13:R1048576" xr:uid="{41D94252-0F28-1240-882A-2D6E98A0FCF4}">
      <formula1>"None,Low,Moderate,High"</formula1>
    </dataValidation>
    <dataValidation type="list" allowBlank="1" showInputMessage="1" showErrorMessage="1" sqref="K13:K1048576" xr:uid="{85D3ACC2-E972-C242-BD83-A034766DF249}">
      <formula1>"Proposed,In Progress,Delayed/Scaled Back,Paused,Cancelled - Denied,Cancelled - Withdrawn,Completed"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14EB5-3F39-F14E-8F97-CE2C2589AD59}">
  <dimension ref="A1:O25"/>
  <sheetViews>
    <sheetView zoomScale="125" workbookViewId="0">
      <pane xSplit="1" topLeftCell="I1" activePane="topRight" state="frozen"/>
      <selection pane="topRight" activeCell="M10" sqref="M10"/>
    </sheetView>
  </sheetViews>
  <sheetFormatPr defaultColWidth="50.625" defaultRowHeight="15.95"/>
  <cols>
    <col min="1" max="1" width="24.875" style="17" customWidth="1"/>
    <col min="2" max="16384" width="50.625" style="17"/>
  </cols>
  <sheetData>
    <row r="1" spans="1:15" s="15" customFormat="1" ht="15.75">
      <c r="A1" s="15" t="s">
        <v>175</v>
      </c>
      <c r="B1" s="15" t="str" cm="1">
        <f t="array" ref="B1:O1">TRANSPOSE('Philadelphia Fed Region'!A2:A15)</f>
        <v>Cumulus Hyperscale Data Center Campus</v>
      </c>
      <c r="C1" s="15" t="str">
        <v>DataOne Vineland</v>
      </c>
      <c r="D1" s="15" t="str">
        <v>Windstream Ephrata Data Center</v>
      </c>
      <c r="E1" s="15" t="str">
        <v>Homer City Energy + AI Campus</v>
      </c>
      <c r="F1" s="15" t="str">
        <v>PAX – Pennsylvania Digital I</v>
      </c>
      <c r="G1" s="15" t="str">
        <v>CoreWeave Lancaster AI Campuses</v>
      </c>
      <c r="H1" s="15" t="str">
        <v>Project Hazelnut</v>
      </c>
      <c r="I1" s="15" t="str">
        <v>Klondike Data Center Project</v>
      </c>
      <c r="J1" s="15" t="str">
        <v>East Greenwich Township Data Center</v>
      </c>
      <c r="K1" s="15" t="str">
        <v>St. Georges Business Park Data Center Development / "Frightland Project"</v>
      </c>
      <c r="L1" s="15" t="str">
        <v>White Clay Creek Business Park Data Center Redevelopment</v>
      </c>
      <c r="M1" s="15">
        <v>0</v>
      </c>
      <c r="N1" s="22" t="str">
        <v>Storage Data Center Project</v>
      </c>
      <c r="O1" s="22">
        <v>0</v>
      </c>
    </row>
    <row r="2" spans="1:15" ht="15.75">
      <c r="A2" s="16" t="s">
        <v>176</v>
      </c>
      <c r="B2" s="17" t="s">
        <v>177</v>
      </c>
      <c r="D2"/>
      <c r="E2" t="s">
        <v>178</v>
      </c>
      <c r="F2"/>
      <c r="G2" t="s">
        <v>178</v>
      </c>
      <c r="H2" t="s">
        <v>178</v>
      </c>
      <c r="I2" t="s">
        <v>179</v>
      </c>
      <c r="J2" t="s">
        <v>180</v>
      </c>
      <c r="K2" t="s">
        <v>181</v>
      </c>
      <c r="L2" t="s">
        <v>182</v>
      </c>
      <c r="N2" t="s">
        <v>183</v>
      </c>
    </row>
    <row r="3" spans="1:15" ht="15.75">
      <c r="A3" s="18" t="s">
        <v>184</v>
      </c>
      <c r="B3" s="23">
        <v>45355</v>
      </c>
      <c r="C3" s="23">
        <v>46064</v>
      </c>
      <c r="D3"/>
      <c r="E3" s="29">
        <v>45749</v>
      </c>
      <c r="F3"/>
      <c r="G3" t="s">
        <v>185</v>
      </c>
      <c r="H3" s="29">
        <v>45552</v>
      </c>
      <c r="I3" t="s">
        <v>186</v>
      </c>
      <c r="J3" s="29">
        <v>46063</v>
      </c>
      <c r="K3" s="29">
        <v>45392</v>
      </c>
      <c r="L3" s="29">
        <v>45979</v>
      </c>
      <c r="N3" s="29">
        <v>46063</v>
      </c>
    </row>
    <row r="4" spans="1:15" ht="30.75">
      <c r="A4" s="19" t="s">
        <v>187</v>
      </c>
      <c r="B4" s="26" t="s">
        <v>44</v>
      </c>
      <c r="C4" s="26" t="s">
        <v>64</v>
      </c>
      <c r="D4"/>
      <c r="E4" t="s">
        <v>91</v>
      </c>
      <c r="F4" t="s">
        <v>101</v>
      </c>
      <c r="G4" t="s">
        <v>111</v>
      </c>
      <c r="H4" t="s">
        <v>122</v>
      </c>
      <c r="I4" t="s">
        <v>188</v>
      </c>
      <c r="J4" t="s">
        <v>146</v>
      </c>
      <c r="K4" t="s">
        <v>189</v>
      </c>
      <c r="L4" t="s">
        <v>168</v>
      </c>
      <c r="N4" t="s">
        <v>174</v>
      </c>
    </row>
    <row r="5" spans="1:15" ht="15.75">
      <c r="A5" s="20" t="s">
        <v>190</v>
      </c>
      <c r="B5" s="17" t="s">
        <v>191</v>
      </c>
      <c r="C5" s="17" t="s">
        <v>191</v>
      </c>
      <c r="D5" t="s">
        <v>192</v>
      </c>
      <c r="E5" t="s">
        <v>193</v>
      </c>
      <c r="F5" t="s">
        <v>194</v>
      </c>
      <c r="G5" t="s">
        <v>191</v>
      </c>
      <c r="H5" t="s">
        <v>178</v>
      </c>
      <c r="I5" t="s">
        <v>195</v>
      </c>
      <c r="J5" t="s">
        <v>196</v>
      </c>
      <c r="K5" t="s">
        <v>197</v>
      </c>
      <c r="L5" t="s">
        <v>198</v>
      </c>
    </row>
    <row r="6" spans="1:15" ht="15.75">
      <c r="A6" s="18" t="s">
        <v>199</v>
      </c>
      <c r="B6" s="24">
        <v>44389</v>
      </c>
      <c r="C6" s="28">
        <v>45717</v>
      </c>
      <c r="D6">
        <v>2009</v>
      </c>
      <c r="E6">
        <v>2025</v>
      </c>
      <c r="F6" s="29">
        <v>45679</v>
      </c>
      <c r="G6">
        <v>2025</v>
      </c>
      <c r="H6" s="29">
        <v>45552</v>
      </c>
      <c r="I6" s="29">
        <v>45939</v>
      </c>
      <c r="J6" s="29">
        <v>45811</v>
      </c>
      <c r="K6" s="29">
        <v>45993</v>
      </c>
      <c r="L6" s="29">
        <v>45993</v>
      </c>
    </row>
    <row r="7" spans="1:15" ht="46.5">
      <c r="A7" s="18" t="s">
        <v>200</v>
      </c>
      <c r="B7" s="26" t="s">
        <v>43</v>
      </c>
      <c r="C7" s="17" t="s">
        <v>180</v>
      </c>
      <c r="D7" t="s">
        <v>76</v>
      </c>
      <c r="E7" t="s">
        <v>201</v>
      </c>
      <c r="F7" t="s">
        <v>202</v>
      </c>
      <c r="G7" t="s">
        <v>111</v>
      </c>
      <c r="H7" t="s">
        <v>122</v>
      </c>
      <c r="I7" t="s">
        <v>203</v>
      </c>
      <c r="J7" t="s">
        <v>204</v>
      </c>
      <c r="K7" t="s">
        <v>205</v>
      </c>
      <c r="L7" t="s">
        <v>206</v>
      </c>
    </row>
    <row r="8" spans="1:15" ht="15.75">
      <c r="A8" s="20" t="s">
        <v>207</v>
      </c>
      <c r="B8" s="17" t="s">
        <v>208</v>
      </c>
      <c r="C8" s="17" t="s">
        <v>209</v>
      </c>
      <c r="E8" t="s">
        <v>210</v>
      </c>
      <c r="F8" t="s">
        <v>191</v>
      </c>
      <c r="H8" t="s">
        <v>211</v>
      </c>
      <c r="I8" t="s">
        <v>212</v>
      </c>
      <c r="J8" t="s">
        <v>213</v>
      </c>
      <c r="L8" t="s">
        <v>214</v>
      </c>
    </row>
    <row r="9" spans="1:15" ht="15.75">
      <c r="A9" s="18" t="s">
        <v>215</v>
      </c>
      <c r="B9" s="25">
        <v>44943</v>
      </c>
      <c r="C9" s="25">
        <v>45671</v>
      </c>
      <c r="E9" s="29">
        <v>46113</v>
      </c>
      <c r="F9" s="29">
        <v>45955</v>
      </c>
      <c r="H9" t="s">
        <v>216</v>
      </c>
      <c r="I9" t="s">
        <v>217</v>
      </c>
      <c r="J9" s="29">
        <v>46063</v>
      </c>
      <c r="L9" s="29">
        <v>46099</v>
      </c>
    </row>
    <row r="10" spans="1:15" ht="46.5">
      <c r="A10" s="18" t="s">
        <v>218</v>
      </c>
      <c r="B10" s="26" t="s">
        <v>45</v>
      </c>
      <c r="C10" s="26" t="s">
        <v>219</v>
      </c>
      <c r="E10" t="s">
        <v>220</v>
      </c>
      <c r="F10" t="s">
        <v>202</v>
      </c>
      <c r="H10" t="s">
        <v>221</v>
      </c>
      <c r="I10" t="s">
        <v>222</v>
      </c>
      <c r="J10" t="s">
        <v>146</v>
      </c>
      <c r="L10" t="s">
        <v>223</v>
      </c>
    </row>
    <row r="11" spans="1:15" ht="30.75">
      <c r="A11" s="20" t="s">
        <v>224</v>
      </c>
      <c r="B11" s="17" t="s">
        <v>225</v>
      </c>
      <c r="C11" s="17" t="s">
        <v>226</v>
      </c>
      <c r="H11" t="s">
        <v>227</v>
      </c>
      <c r="J11" t="s">
        <v>228</v>
      </c>
    </row>
    <row r="12" spans="1:15" ht="15.75">
      <c r="A12" s="18" t="s">
        <v>229</v>
      </c>
      <c r="B12" s="25">
        <v>45355</v>
      </c>
      <c r="C12" s="25">
        <v>46014</v>
      </c>
      <c r="H12" s="29">
        <v>46071</v>
      </c>
      <c r="J12" s="29">
        <v>46168</v>
      </c>
    </row>
    <row r="13" spans="1:15" ht="46.5">
      <c r="A13" s="18" t="s">
        <v>230</v>
      </c>
      <c r="B13" s="26" t="s">
        <v>231</v>
      </c>
      <c r="C13" s="26" t="s">
        <v>219</v>
      </c>
      <c r="H13" t="s">
        <v>221</v>
      </c>
      <c r="J13" t="s">
        <v>232</v>
      </c>
    </row>
    <row r="14" spans="1:15" ht="46.5">
      <c r="A14" s="20" t="s">
        <v>233</v>
      </c>
      <c r="B14" s="24" t="s">
        <v>234</v>
      </c>
      <c r="C14" s="24" t="s">
        <v>235</v>
      </c>
      <c r="H14" t="s">
        <v>236</v>
      </c>
    </row>
    <row r="15" spans="1:15" ht="15.75">
      <c r="A15" s="18" t="s">
        <v>237</v>
      </c>
      <c r="B15" s="24">
        <v>45600</v>
      </c>
      <c r="C15" s="28">
        <v>46113</v>
      </c>
      <c r="H15" s="29">
        <v>46170</v>
      </c>
    </row>
    <row r="16" spans="1:15" ht="46.5">
      <c r="A16" s="18" t="s">
        <v>238</v>
      </c>
      <c r="B16" s="26" t="s">
        <v>47</v>
      </c>
      <c r="C16" s="17" t="s">
        <v>66</v>
      </c>
      <c r="H16" t="s">
        <v>239</v>
      </c>
    </row>
    <row r="17" spans="2:2" ht="15.75"/>
    <row r="18" spans="2:2" ht="15.75"/>
    <row r="19" spans="2:2" ht="15.75"/>
    <row r="20" spans="2:2" ht="15.75"/>
    <row r="21" spans="2:2" ht="15.75"/>
    <row r="22" spans="2:2" ht="15.75"/>
    <row r="23" spans="2:2" ht="15.75">
      <c r="B23" s="25"/>
    </row>
    <row r="24" spans="2:2" ht="15.75">
      <c r="B24" s="26"/>
    </row>
    <row r="25" spans="2:2" ht="15.75"/>
  </sheetData>
  <hyperlinks>
    <hyperlink ref="C13" r:id="rId1" xr:uid="{031E06FE-38D8-514B-B238-903CBFA9A3E2}"/>
    <hyperlink ref="C4" r:id="rId2" xr:uid="{DFBA4FF6-4AB7-5944-879F-D9586A6BC52A}"/>
    <hyperlink ref="B13" r:id="rId3" xr:uid="{B91A417D-D1B3-4B54-8515-8BD97EADA528}"/>
    <hyperlink ref="B10" r:id="rId4" xr:uid="{985337F0-1FE0-45D7-BF85-DD08D5A9D13C}"/>
    <hyperlink ref="B7" r:id="rId5" xr:uid="{F60F7F6E-123C-4BF0-A852-66FBDE093C59}"/>
    <hyperlink ref="B16" r:id="rId6" xr:uid="{E148F151-8599-4D2D-B041-2500F7F012E5}"/>
    <hyperlink ref="B4" r:id="rId7" xr:uid="{893958C3-BB4E-4D91-803F-C141B2D7F03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C3F1-811F-AA4C-9AA3-E830FC088A2C}">
  <dimension ref="A1:AC25"/>
  <sheetViews>
    <sheetView tabSelected="1" zoomScale="159" workbookViewId="0">
      <pane xSplit="1" topLeftCell="T1" activePane="topRight" state="frozen"/>
      <selection pane="topRight" activeCell="V10" sqref="V10"/>
    </sheetView>
  </sheetViews>
  <sheetFormatPr defaultColWidth="11" defaultRowHeight="15.75" customHeight="1"/>
  <cols>
    <col min="1" max="1" width="29.875" customWidth="1"/>
    <col min="2" max="2" width="27.375" customWidth="1"/>
    <col min="3" max="3" width="14.625" customWidth="1"/>
    <col min="4" max="4" width="6.375" customWidth="1"/>
    <col min="5" max="5" width="14.625" customWidth="1"/>
    <col min="6" max="6" width="20" customWidth="1"/>
    <col min="7" max="7" width="20.875" customWidth="1"/>
    <col min="8" max="8" width="9.375" customWidth="1"/>
    <col min="11" max="11" width="15.125" customWidth="1"/>
    <col min="12" max="12" width="45.5" customWidth="1"/>
    <col min="13" max="13" width="18.875" customWidth="1"/>
    <col min="14" max="14" width="30.375" customWidth="1"/>
    <col min="15" max="16" width="29.875" customWidth="1"/>
    <col min="17" max="18" width="17.5" customWidth="1"/>
    <col min="19" max="19" width="43.625" customWidth="1"/>
    <col min="20" max="20" width="36" customWidth="1"/>
    <col min="25" max="25" width="17.125" customWidth="1"/>
  </cols>
  <sheetData>
    <row r="1" spans="1:29" s="1" customFormat="1">
      <c r="A1" s="12" t="s">
        <v>0</v>
      </c>
      <c r="B1" s="12" t="s">
        <v>1</v>
      </c>
      <c r="C1" s="13" t="s">
        <v>2</v>
      </c>
      <c r="D1" s="12" t="s">
        <v>3</v>
      </c>
      <c r="E1" s="12" t="s">
        <v>4</v>
      </c>
      <c r="F1" s="12" t="s">
        <v>5</v>
      </c>
      <c r="G1" s="13" t="s">
        <v>6</v>
      </c>
      <c r="H1" s="13" t="s">
        <v>7</v>
      </c>
      <c r="I1" s="13" t="s">
        <v>8</v>
      </c>
      <c r="J1" s="13" t="s">
        <v>9</v>
      </c>
      <c r="K1" s="12" t="s">
        <v>10</v>
      </c>
      <c r="L1" s="12" t="s">
        <v>11</v>
      </c>
      <c r="M1" s="12" t="s">
        <v>12</v>
      </c>
      <c r="N1" s="12" t="s">
        <v>13</v>
      </c>
      <c r="O1" s="12" t="s">
        <v>14</v>
      </c>
      <c r="P1" s="12" t="s">
        <v>15</v>
      </c>
      <c r="Q1" s="12" t="s">
        <v>16</v>
      </c>
      <c r="R1" s="12" t="s">
        <v>17</v>
      </c>
      <c r="S1" s="12" t="s">
        <v>18</v>
      </c>
      <c r="T1" s="12" t="s">
        <v>19</v>
      </c>
      <c r="U1" s="12" t="s">
        <v>20</v>
      </c>
      <c r="V1" s="12" t="s">
        <v>21</v>
      </c>
      <c r="W1" s="13" t="s">
        <v>22</v>
      </c>
      <c r="X1" s="13" t="s">
        <v>23</v>
      </c>
      <c r="Y1" s="13" t="s">
        <v>24</v>
      </c>
      <c r="Z1" s="13" t="s">
        <v>25</v>
      </c>
      <c r="AA1" s="13" t="s">
        <v>26</v>
      </c>
      <c r="AB1" s="13" t="s">
        <v>27</v>
      </c>
      <c r="AC1" s="14"/>
    </row>
    <row r="2" spans="1:29">
      <c r="A2" s="5" t="s">
        <v>240</v>
      </c>
      <c r="B2" t="s">
        <v>241</v>
      </c>
      <c r="C2">
        <v>19.2</v>
      </c>
      <c r="D2" t="s">
        <v>242</v>
      </c>
      <c r="E2" t="s">
        <v>243</v>
      </c>
      <c r="G2">
        <v>900</v>
      </c>
      <c r="H2">
        <v>155</v>
      </c>
      <c r="I2">
        <v>2028</v>
      </c>
      <c r="K2" t="s">
        <v>153</v>
      </c>
      <c r="L2" t="s">
        <v>244</v>
      </c>
      <c r="M2" t="s">
        <v>130</v>
      </c>
      <c r="N2" t="s">
        <v>245</v>
      </c>
      <c r="Q2" t="s">
        <v>246</v>
      </c>
      <c r="S2" t="s">
        <v>247</v>
      </c>
      <c r="T2" s="2" t="s">
        <v>248</v>
      </c>
      <c r="U2">
        <v>35.924354616490099</v>
      </c>
      <c r="V2">
        <v>-77.658343989276503</v>
      </c>
      <c r="W2" s="30">
        <v>46113</v>
      </c>
      <c r="X2" t="s">
        <v>249</v>
      </c>
      <c r="Y2" s="2" t="s">
        <v>250</v>
      </c>
    </row>
    <row r="3" spans="1:29">
      <c r="A3" s="5" t="s">
        <v>251</v>
      </c>
      <c r="B3" t="s">
        <v>241</v>
      </c>
      <c r="C3">
        <v>6.4</v>
      </c>
      <c r="D3" t="s">
        <v>242</v>
      </c>
      <c r="E3" t="s">
        <v>243</v>
      </c>
      <c r="F3" t="s">
        <v>252</v>
      </c>
      <c r="G3">
        <v>300</v>
      </c>
      <c r="H3">
        <v>52</v>
      </c>
      <c r="I3">
        <v>2028</v>
      </c>
      <c r="K3" t="s">
        <v>53</v>
      </c>
      <c r="L3" t="s">
        <v>253</v>
      </c>
      <c r="M3" t="s">
        <v>254</v>
      </c>
      <c r="N3" t="s">
        <v>255</v>
      </c>
      <c r="O3" t="s">
        <v>256</v>
      </c>
      <c r="Q3" t="s">
        <v>59</v>
      </c>
      <c r="S3" t="s">
        <v>257</v>
      </c>
      <c r="T3" t="s">
        <v>258</v>
      </c>
      <c r="U3">
        <v>35.905241335452899</v>
      </c>
      <c r="V3">
        <v>-77.578709824026603</v>
      </c>
      <c r="W3" s="30">
        <v>46113</v>
      </c>
      <c r="X3" s="7" t="s">
        <v>259</v>
      </c>
      <c r="Y3" s="9" t="s">
        <v>250</v>
      </c>
      <c r="Z3" s="8" t="s">
        <v>260</v>
      </c>
      <c r="AA3" t="s">
        <v>261</v>
      </c>
      <c r="AB3" s="8" t="s">
        <v>262</v>
      </c>
    </row>
    <row r="4" spans="1:29">
      <c r="A4" s="3" t="s">
        <v>263</v>
      </c>
      <c r="B4" t="s">
        <v>264</v>
      </c>
      <c r="C4" t="s">
        <v>265</v>
      </c>
      <c r="D4" t="s">
        <v>242</v>
      </c>
      <c r="E4" t="s">
        <v>266</v>
      </c>
      <c r="F4" t="s">
        <v>267</v>
      </c>
      <c r="G4">
        <v>270</v>
      </c>
      <c r="H4">
        <v>158</v>
      </c>
      <c r="I4">
        <v>2028</v>
      </c>
      <c r="K4" t="s">
        <v>53</v>
      </c>
      <c r="L4" t="s">
        <v>268</v>
      </c>
      <c r="N4" t="s">
        <v>269</v>
      </c>
      <c r="Q4" t="s">
        <v>246</v>
      </c>
      <c r="U4">
        <v>35.619095999999999</v>
      </c>
      <c r="V4">
        <v>-81.315780000000004</v>
      </c>
      <c r="W4" s="30">
        <v>46113</v>
      </c>
      <c r="X4" s="9" t="s">
        <v>270</v>
      </c>
      <c r="Z4" s="2" t="s">
        <v>248</v>
      </c>
    </row>
    <row r="5" spans="1:29">
      <c r="A5" s="3" t="s">
        <v>271</v>
      </c>
      <c r="B5" t="s">
        <v>264</v>
      </c>
      <c r="C5" t="s">
        <v>265</v>
      </c>
      <c r="D5" t="s">
        <v>242</v>
      </c>
      <c r="E5" t="s">
        <v>266</v>
      </c>
      <c r="F5" t="s">
        <v>272</v>
      </c>
      <c r="G5">
        <v>270</v>
      </c>
      <c r="H5">
        <v>220</v>
      </c>
      <c r="I5">
        <v>2028</v>
      </c>
      <c r="K5" t="s">
        <v>53</v>
      </c>
      <c r="L5" t="s">
        <v>273</v>
      </c>
      <c r="N5" t="s">
        <v>269</v>
      </c>
      <c r="Q5" t="s">
        <v>246</v>
      </c>
      <c r="U5">
        <v>35.731135000000002</v>
      </c>
      <c r="V5">
        <v>-81.205388999999997</v>
      </c>
      <c r="W5" s="30">
        <v>46113</v>
      </c>
      <c r="X5" s="9" t="s">
        <v>274</v>
      </c>
      <c r="Y5" s="2" t="s">
        <v>248</v>
      </c>
      <c r="Z5" s="2" t="s">
        <v>248</v>
      </c>
    </row>
    <row r="6" spans="1:29">
      <c r="A6" s="4" t="s">
        <v>275</v>
      </c>
      <c r="B6" t="s">
        <v>264</v>
      </c>
      <c r="C6" t="s">
        <v>265</v>
      </c>
      <c r="D6" t="s">
        <v>242</v>
      </c>
      <c r="E6" t="s">
        <v>266</v>
      </c>
      <c r="F6" t="s">
        <v>276</v>
      </c>
      <c r="G6">
        <v>270</v>
      </c>
      <c r="H6">
        <v>292</v>
      </c>
      <c r="I6">
        <v>2028</v>
      </c>
      <c r="K6" t="s">
        <v>53</v>
      </c>
      <c r="N6" t="s">
        <v>269</v>
      </c>
      <c r="Q6" t="s">
        <v>246</v>
      </c>
      <c r="U6">
        <v>35.589793999999998</v>
      </c>
      <c r="V6">
        <v>-81.235322999999994</v>
      </c>
      <c r="W6" s="30">
        <v>46113</v>
      </c>
      <c r="X6" s="9" t="s">
        <v>277</v>
      </c>
      <c r="Y6" s="2" t="s">
        <v>248</v>
      </c>
      <c r="Z6" s="2" t="s">
        <v>248</v>
      </c>
    </row>
    <row r="7" spans="1:29">
      <c r="A7" s="1" t="s">
        <v>278</v>
      </c>
      <c r="B7" t="s">
        <v>279</v>
      </c>
      <c r="C7">
        <v>3.7</v>
      </c>
      <c r="D7" t="s">
        <v>280</v>
      </c>
      <c r="E7" t="s">
        <v>281</v>
      </c>
      <c r="F7" t="s">
        <v>282</v>
      </c>
      <c r="G7" s="6">
        <v>3500</v>
      </c>
      <c r="H7">
        <v>2200</v>
      </c>
      <c r="K7" t="s">
        <v>283</v>
      </c>
      <c r="L7" t="s">
        <v>284</v>
      </c>
      <c r="N7" t="s">
        <v>285</v>
      </c>
      <c r="O7" t="s">
        <v>286</v>
      </c>
      <c r="P7" s="1"/>
      <c r="Q7" t="s">
        <v>59</v>
      </c>
      <c r="S7" t="s">
        <v>287</v>
      </c>
      <c r="T7" t="s">
        <v>288</v>
      </c>
      <c r="U7">
        <v>36.804000000000002</v>
      </c>
      <c r="V7">
        <v>-79.39</v>
      </c>
      <c r="W7" s="30">
        <v>46113</v>
      </c>
      <c r="X7" s="9" t="s">
        <v>289</v>
      </c>
      <c r="Y7" s="2" t="s">
        <v>248</v>
      </c>
      <c r="Z7" s="2" t="s">
        <v>248</v>
      </c>
    </row>
    <row r="8" spans="1:29">
      <c r="A8" t="s">
        <v>290</v>
      </c>
      <c r="B8" t="s">
        <v>291</v>
      </c>
      <c r="C8">
        <v>3</v>
      </c>
      <c r="D8" t="s">
        <v>280</v>
      </c>
      <c r="E8" t="s">
        <v>292</v>
      </c>
      <c r="G8">
        <v>900</v>
      </c>
      <c r="I8" t="s">
        <v>293</v>
      </c>
      <c r="K8" t="s">
        <v>153</v>
      </c>
      <c r="N8" t="s">
        <v>294</v>
      </c>
      <c r="Q8" t="s">
        <v>246</v>
      </c>
      <c r="S8" t="s">
        <v>295</v>
      </c>
      <c r="U8">
        <v>37.989718000000003</v>
      </c>
      <c r="V8">
        <v>-77.491225</v>
      </c>
      <c r="W8" s="30">
        <v>46113</v>
      </c>
      <c r="X8" s="9" t="s">
        <v>296</v>
      </c>
      <c r="Y8" s="9" t="s">
        <v>297</v>
      </c>
      <c r="Z8" s="2" t="s">
        <v>248</v>
      </c>
    </row>
    <row r="9" spans="1:29">
      <c r="A9" t="s">
        <v>298</v>
      </c>
      <c r="B9" t="s">
        <v>299</v>
      </c>
      <c r="D9" t="s">
        <v>280</v>
      </c>
      <c r="E9" t="s">
        <v>300</v>
      </c>
      <c r="G9" t="s">
        <v>301</v>
      </c>
      <c r="X9" s="2" t="s">
        <v>248</v>
      </c>
      <c r="Y9" s="2" t="s">
        <v>248</v>
      </c>
      <c r="Z9" s="2" t="s">
        <v>248</v>
      </c>
    </row>
    <row r="10" spans="1:29">
      <c r="A10" t="s">
        <v>302</v>
      </c>
      <c r="B10" t="s">
        <v>303</v>
      </c>
      <c r="D10" t="s">
        <v>280</v>
      </c>
      <c r="G10">
        <v>1000</v>
      </c>
      <c r="H10">
        <v>500</v>
      </c>
      <c r="N10" t="s">
        <v>304</v>
      </c>
      <c r="X10" s="2" t="s">
        <v>248</v>
      </c>
      <c r="Y10" s="2" t="s">
        <v>305</v>
      </c>
      <c r="Z10" s="2" t="s">
        <v>248</v>
      </c>
    </row>
    <row r="11" spans="1:29">
      <c r="A11" t="s">
        <v>306</v>
      </c>
      <c r="G11">
        <v>1100</v>
      </c>
      <c r="X11" s="2" t="s">
        <v>248</v>
      </c>
      <c r="Y11" s="2" t="s">
        <v>248</v>
      </c>
      <c r="Z11" s="2" t="s">
        <v>248</v>
      </c>
    </row>
    <row r="12" spans="1:29">
      <c r="A12" t="s">
        <v>307</v>
      </c>
      <c r="X12" s="2" t="s">
        <v>248</v>
      </c>
      <c r="Y12" s="2" t="s">
        <v>248</v>
      </c>
      <c r="Z12" s="2" t="s">
        <v>248</v>
      </c>
    </row>
    <row r="13" spans="1:29">
      <c r="A13" t="s">
        <v>308</v>
      </c>
      <c r="X13" s="2" t="s">
        <v>248</v>
      </c>
      <c r="Y13" s="2" t="s">
        <v>248</v>
      </c>
      <c r="Z13" s="2" t="s">
        <v>248</v>
      </c>
    </row>
    <row r="14" spans="1:29">
      <c r="X14" s="2" t="s">
        <v>248</v>
      </c>
      <c r="Y14" s="2" t="s">
        <v>248</v>
      </c>
      <c r="Z14" s="2" t="s">
        <v>248</v>
      </c>
    </row>
    <row r="15" spans="1:29">
      <c r="X15" s="2" t="s">
        <v>248</v>
      </c>
      <c r="Y15" s="2" t="s">
        <v>248</v>
      </c>
      <c r="Z15" s="2" t="s">
        <v>248</v>
      </c>
    </row>
    <row r="16" spans="1:29">
      <c r="X16" s="2" t="s">
        <v>248</v>
      </c>
      <c r="Y16" s="2" t="s">
        <v>248</v>
      </c>
      <c r="Z16" s="2" t="s">
        <v>248</v>
      </c>
    </row>
    <row r="17" spans="1:26">
      <c r="X17" s="2" t="s">
        <v>248</v>
      </c>
      <c r="Y17" s="2" t="s">
        <v>248</v>
      </c>
      <c r="Z17" s="2" t="s">
        <v>248</v>
      </c>
    </row>
    <row r="18" spans="1:26">
      <c r="A18" t="s">
        <v>309</v>
      </c>
      <c r="X18" s="2" t="s">
        <v>248</v>
      </c>
      <c r="Y18" s="2" t="s">
        <v>248</v>
      </c>
      <c r="Z18" s="2" t="s">
        <v>248</v>
      </c>
    </row>
    <row r="19" spans="1:26">
      <c r="X19" s="2" t="s">
        <v>248</v>
      </c>
      <c r="Y19" s="2" t="s">
        <v>248</v>
      </c>
      <c r="Z19" s="2" t="s">
        <v>248</v>
      </c>
    </row>
    <row r="20" spans="1:26">
      <c r="X20" s="2" t="s">
        <v>248</v>
      </c>
      <c r="Y20" s="2" t="s">
        <v>248</v>
      </c>
      <c r="Z20" s="2" t="s">
        <v>248</v>
      </c>
    </row>
    <row r="21" spans="1:26">
      <c r="O21" t="s">
        <v>310</v>
      </c>
      <c r="X21" s="2" t="s">
        <v>248</v>
      </c>
      <c r="Y21" s="2" t="s">
        <v>248</v>
      </c>
      <c r="Z21" s="2" t="s">
        <v>248</v>
      </c>
    </row>
    <row r="22" spans="1:26">
      <c r="O22" t="s">
        <v>311</v>
      </c>
      <c r="X22" s="2" t="s">
        <v>248</v>
      </c>
      <c r="Y22" s="2" t="s">
        <v>248</v>
      </c>
      <c r="Z22" s="2" t="s">
        <v>248</v>
      </c>
    </row>
    <row r="23" spans="1:26">
      <c r="X23" s="2" t="s">
        <v>248</v>
      </c>
      <c r="Y23" s="2" t="s">
        <v>248</v>
      </c>
      <c r="Z23" s="2" t="s">
        <v>248</v>
      </c>
    </row>
    <row r="24" spans="1:26">
      <c r="X24" s="2" t="s">
        <v>248</v>
      </c>
      <c r="Y24" s="2" t="s">
        <v>248</v>
      </c>
      <c r="Z24" s="2" t="s">
        <v>248</v>
      </c>
    </row>
    <row r="25" spans="1:26">
      <c r="X25" s="2" t="s">
        <v>248</v>
      </c>
      <c r="Y25" s="2" t="s">
        <v>248</v>
      </c>
      <c r="Z25" s="2" t="s">
        <v>248</v>
      </c>
    </row>
  </sheetData>
  <dataValidations count="1">
    <dataValidation type="list" allowBlank="1" showInputMessage="1" showErrorMessage="1" sqref="K10 K3:K8" xr:uid="{8B9D7067-4B4E-4A16-B068-455816787464}">
      <formula1>"Proposed,In Progress,Delayed/Scaled Back,Paused,Cancelled - Denied,Cancelled - Withdrawn,Completed"</formula1>
    </dataValidation>
  </dataValidations>
  <hyperlinks>
    <hyperlink ref="X3" r:id="rId1" xr:uid="{74DB5CD8-E009-094C-8EDE-6ED47C9E5E0F}"/>
    <hyperlink ref="Z3" r:id="rId2" xr:uid="{001D00F5-7ADE-2D45-B5E6-84A76DEC4E0C}"/>
    <hyperlink ref="Y3" r:id="rId3" location="30122b4d-3b71-43ef-8905-2f727b8b2742" xr:uid="{0AE93672-B937-1644-A714-C73628DA9EF1}"/>
    <hyperlink ref="X8" r:id="rId4" xr:uid="{8E1CE3BA-EF6C-004F-8234-053ACDE6E265}"/>
    <hyperlink ref="X7" r:id="rId5" xr:uid="{C999FE09-CD65-584D-8C8F-99F231B13292}"/>
    <hyperlink ref="Y8" r:id="rId6" xr:uid="{29623AD5-14F8-D647-97A3-E8D677D7113C}"/>
    <hyperlink ref="AB3" r:id="rId7" xr:uid="{C5162973-996B-0F49-91AB-98CC5C917E17}"/>
    <hyperlink ref="X4" r:id="rId8" xr:uid="{7F32969B-4CDF-43EF-B875-3D92DF7BB8C5}"/>
    <hyperlink ref="X5" r:id="rId9" xr:uid="{2EAE2CA7-0916-48D9-933A-07A0FAC604B9}"/>
    <hyperlink ref="X6" r:id="rId10" xr:uid="{CEBE82BD-EA4A-4B70-AA05-572B96F6D097}"/>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D116B-9BA9-1848-92EE-AED21A1F610E}">
  <dimension ref="A1:J16"/>
  <sheetViews>
    <sheetView zoomScale="125" workbookViewId="0">
      <pane xSplit="1" topLeftCell="B1" activePane="topRight" state="frozen"/>
      <selection pane="topRight" activeCell="B4" sqref="B4"/>
    </sheetView>
  </sheetViews>
  <sheetFormatPr defaultColWidth="50.625" defaultRowHeight="15.95"/>
  <cols>
    <col min="1" max="1" width="24.875" customWidth="1"/>
  </cols>
  <sheetData>
    <row r="1" spans="1:10" s="15" customFormat="1" ht="17.100000000000001">
      <c r="A1" s="15" t="s">
        <v>175</v>
      </c>
      <c r="B1" s="15" t="str" cm="1">
        <f t="array" ref="B1:J1">TRANSPOSE('NC VA'!A2:A10)</f>
        <v xml:space="preserve">Kingsboro Data Center Campus </v>
      </c>
      <c r="C1" s="15" t="str">
        <v>Tarboro Data Center Campus</v>
      </c>
      <c r="D1" s="15" t="str">
        <v>Microsoft Stover North Data Center</v>
      </c>
      <c r="E1" s="15" t="str">
        <v>Microsoft Lyle Creek Data Center</v>
      </c>
      <c r="F1" s="15" t="str">
        <v>Microsoft Boyd Farm Data Center</v>
      </c>
      <c r="G1" s="15" t="str">
        <v>Balico Data Center Megacampus</v>
      </c>
      <c r="H1" s="15" t="str">
        <v>CleanArc Campus</v>
      </c>
      <c r="I1" s="15" t="str">
        <v>Botetourt Data Center Campus</v>
      </c>
      <c r="J1" s="15" t="str">
        <v>Stafford technology Campus</v>
      </c>
    </row>
    <row r="2" spans="1:10" ht="17.100000000000001">
      <c r="A2" s="16" t="s">
        <v>176</v>
      </c>
    </row>
    <row r="3" spans="1:10" ht="17.100000000000001">
      <c r="A3" s="18" t="s">
        <v>184</v>
      </c>
    </row>
    <row r="4" spans="1:10" ht="17.100000000000001">
      <c r="A4" s="19" t="s">
        <v>187</v>
      </c>
    </row>
    <row r="5" spans="1:10" ht="17.100000000000001">
      <c r="A5" s="20" t="s">
        <v>190</v>
      </c>
    </row>
    <row r="6" spans="1:10" ht="17.100000000000001">
      <c r="A6" s="18" t="s">
        <v>199</v>
      </c>
    </row>
    <row r="7" spans="1:10" ht="17.100000000000001">
      <c r="A7" s="18" t="s">
        <v>200</v>
      </c>
    </row>
    <row r="8" spans="1:10" ht="17.100000000000001">
      <c r="A8" s="20" t="s">
        <v>207</v>
      </c>
    </row>
    <row r="9" spans="1:10" ht="17.100000000000001">
      <c r="A9" s="18" t="s">
        <v>215</v>
      </c>
    </row>
    <row r="10" spans="1:10" ht="17.100000000000001">
      <c r="A10" s="18" t="s">
        <v>218</v>
      </c>
    </row>
    <row r="11" spans="1:10" ht="17.100000000000001">
      <c r="A11" s="20" t="s">
        <v>224</v>
      </c>
    </row>
    <row r="12" spans="1:10" ht="17.100000000000001">
      <c r="A12" s="18" t="s">
        <v>229</v>
      </c>
    </row>
    <row r="13" spans="1:10" ht="17.100000000000001">
      <c r="A13" s="18" t="s">
        <v>230</v>
      </c>
    </row>
    <row r="14" spans="1:10" ht="17.100000000000001">
      <c r="A14" s="20" t="s">
        <v>233</v>
      </c>
    </row>
    <row r="15" spans="1:10" ht="17.100000000000001">
      <c r="A15" s="18" t="s">
        <v>237</v>
      </c>
    </row>
    <row r="16" spans="1:10" ht="17.100000000000001">
      <c r="A16" s="18" t="s">
        <v>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 Schmeichler Martinez</dc:creator>
  <cp:keywords/>
  <dc:description/>
  <cp:lastModifiedBy>Adrian Schmeichler Martinez</cp:lastModifiedBy>
  <cp:revision/>
  <dcterms:created xsi:type="dcterms:W3CDTF">2026-03-30T18:42:31Z</dcterms:created>
  <dcterms:modified xsi:type="dcterms:W3CDTF">2026-06-08T15:57:14Z</dcterms:modified>
  <cp:category/>
  <cp:contentStatus/>
</cp:coreProperties>
</file>